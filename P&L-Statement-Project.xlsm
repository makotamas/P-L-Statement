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filterPrivacy="1" codeName="ThisWorkbook" defaultThemeVersion="124226"/>
  <xr:revisionPtr revIDLastSave="0" documentId="13_ncr:1_{B541755B-015E-4ADD-BB81-2CF144979642}" xr6:coauthVersionLast="47" xr6:coauthVersionMax="47" xr10:uidLastSave="{00000000-0000-0000-0000-000000000000}"/>
  <bookViews>
    <workbookView xWindow="-120" yWindow="-120" windowWidth="20730" windowHeight="11160" firstSheet="7" activeTab="12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</sheets>
  <definedNames>
    <definedName name="_xlnm._FilterDatabase" localSheetId="3" hidden="1">'1.1 FY2016'!$C$4:$G$61</definedName>
    <definedName name="_xlnm._FilterDatabase" localSheetId="4" hidden="1">'1.2 FY2017'!$B$4:$G$86</definedName>
    <definedName name="_xlnm._FilterDatabase" localSheetId="5" hidden="1">'1.3 FY2018'!$B$4:$G$78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6" l="1"/>
  <c r="E4" i="26"/>
  <c r="C4" i="26"/>
  <c r="E5" i="26"/>
  <c r="D5" i="26"/>
  <c r="C5" i="26"/>
  <c r="E3" i="26"/>
  <c r="D3" i="26"/>
  <c r="C3" i="26"/>
  <c r="E6" i="28"/>
  <c r="D6" i="28"/>
  <c r="E5" i="28"/>
  <c r="D5" i="28"/>
  <c r="E4" i="28"/>
  <c r="D4" i="28"/>
  <c r="E3" i="28"/>
  <c r="D3" i="28"/>
  <c r="C3" i="28"/>
  <c r="D7" i="29"/>
  <c r="E7" i="29"/>
  <c r="D4" i="29"/>
  <c r="E4" i="29"/>
  <c r="D5" i="29"/>
  <c r="E5" i="29"/>
  <c r="D6" i="29"/>
  <c r="E6" i="29"/>
  <c r="D3" i="29"/>
  <c r="E3" i="29"/>
  <c r="C3" i="29"/>
  <c r="E29" i="21" l="1"/>
  <c r="D29" i="21"/>
  <c r="E28" i="21"/>
  <c r="D28" i="21"/>
  <c r="E27" i="21"/>
  <c r="D27" i="21"/>
  <c r="H24" i="21" l="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F23" i="10" l="1"/>
  <c r="F12" i="10"/>
  <c r="F5" i="10"/>
  <c r="F4" i="10"/>
  <c r="C4" i="10"/>
  <c r="D4" i="21"/>
  <c r="E4" i="21"/>
  <c r="C5" i="21"/>
  <c r="D5" i="21"/>
  <c r="D7" i="21" s="1"/>
  <c r="D9" i="21" s="1"/>
  <c r="D17" i="21" s="1"/>
  <c r="D19" i="21" s="1"/>
  <c r="D22" i="21" s="1"/>
  <c r="D24" i="21" s="1"/>
  <c r="E5" i="21"/>
  <c r="D6" i="21"/>
  <c r="E6" i="21"/>
  <c r="E7" i="21"/>
  <c r="E9" i="21" s="1"/>
  <c r="E17" i="21" s="1"/>
  <c r="E19" i="21" s="1"/>
  <c r="E22" i="21" s="1"/>
  <c r="E24" i="21" s="1"/>
  <c r="D8" i="21"/>
  <c r="E8" i="21"/>
  <c r="D10" i="21"/>
  <c r="E10" i="21"/>
  <c r="D11" i="21"/>
  <c r="E11" i="21"/>
  <c r="D12" i="21"/>
  <c r="E12" i="21"/>
  <c r="D13" i="21"/>
  <c r="E13" i="21"/>
  <c r="D14" i="21"/>
  <c r="E14" i="21"/>
  <c r="D15" i="21"/>
  <c r="E15" i="21"/>
  <c r="D16" i="21"/>
  <c r="E16" i="21"/>
  <c r="D18" i="21"/>
  <c r="E18" i="21"/>
  <c r="D20" i="21"/>
  <c r="E20" i="21"/>
  <c r="D21" i="21"/>
  <c r="E21" i="21"/>
  <c r="D23" i="21"/>
  <c r="E23" i="21"/>
  <c r="F18" i="10"/>
  <c r="C5" i="28" l="1"/>
  <c r="C5" i="29"/>
  <c r="G5" i="2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C4" i="21" s="1"/>
  <c r="F59" i="10"/>
  <c r="F58" i="10"/>
  <c r="F57" i="10"/>
  <c r="C23" i="21" s="1"/>
  <c r="G23" i="21" s="1"/>
  <c r="F56" i="10"/>
  <c r="F55" i="10"/>
  <c r="C21" i="21" s="1"/>
  <c r="G21" i="21" s="1"/>
  <c r="F54" i="10"/>
  <c r="F53" i="10"/>
  <c r="F52" i="10"/>
  <c r="F51" i="10"/>
  <c r="F50" i="10"/>
  <c r="F49" i="10"/>
  <c r="C20" i="21" s="1"/>
  <c r="G20" i="21" s="1"/>
  <c r="F48" i="10"/>
  <c r="F47" i="10"/>
  <c r="F46" i="10"/>
  <c r="F45" i="10"/>
  <c r="F44" i="10"/>
  <c r="F43" i="10"/>
  <c r="F42" i="10"/>
  <c r="F41" i="10"/>
  <c r="F40" i="10"/>
  <c r="F39" i="10"/>
  <c r="C14" i="21" s="1"/>
  <c r="G14" i="21" s="1"/>
  <c r="F38" i="10"/>
  <c r="F37" i="10"/>
  <c r="F36" i="10"/>
  <c r="F35" i="10"/>
  <c r="F34" i="10"/>
  <c r="F33" i="10"/>
  <c r="C12" i="21" s="1"/>
  <c r="G12" i="21" s="1"/>
  <c r="F32" i="10"/>
  <c r="F31" i="10"/>
  <c r="F30" i="10"/>
  <c r="F29" i="10"/>
  <c r="C15" i="21" s="1"/>
  <c r="G15" i="21" s="1"/>
  <c r="F28" i="10"/>
  <c r="F27" i="10"/>
  <c r="F26" i="10"/>
  <c r="F25" i="10"/>
  <c r="F24" i="10"/>
  <c r="F22" i="10"/>
  <c r="F21" i="10"/>
  <c r="F20" i="10"/>
  <c r="C6" i="21" s="1"/>
  <c r="F19" i="10"/>
  <c r="C18" i="21" s="1"/>
  <c r="G18" i="21" s="1"/>
  <c r="F17" i="10"/>
  <c r="F16" i="10"/>
  <c r="F15" i="10"/>
  <c r="F14" i="10"/>
  <c r="F13" i="10"/>
  <c r="F11" i="10"/>
  <c r="F10" i="10"/>
  <c r="C8" i="21" s="1"/>
  <c r="G8" i="21" s="1"/>
  <c r="F9" i="10"/>
  <c r="F8" i="10"/>
  <c r="F7" i="10"/>
  <c r="F6" i="10"/>
  <c r="C16" i="21" s="1"/>
  <c r="G16" i="21" s="1"/>
  <c r="C4" i="29" l="1"/>
  <c r="C4" i="28"/>
  <c r="G4" i="21"/>
  <c r="C7" i="21"/>
  <c r="C6" i="28"/>
  <c r="C6" i="29"/>
  <c r="G6" i="21"/>
  <c r="C10" i="21"/>
  <c r="G10" i="21" s="1"/>
  <c r="C13" i="21"/>
  <c r="G13" i="21" s="1"/>
  <c r="C11" i="21"/>
  <c r="G11" i="21" s="1"/>
  <c r="C9" i="21"/>
  <c r="G7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17" i="21" l="1"/>
  <c r="C27" i="21"/>
  <c r="C7" i="29" s="1"/>
  <c r="G9" i="21"/>
  <c r="C19" i="21" l="1"/>
  <c r="C28" i="21"/>
  <c r="G17" i="21"/>
  <c r="C22" i="21" l="1"/>
  <c r="C29" i="21"/>
  <c r="G19" i="21"/>
  <c r="C24" i="21" l="1"/>
  <c r="G24" i="21" s="1"/>
  <c r="G22" i="21"/>
</calcChain>
</file>

<file path=xl/sharedStrings.xml><?xml version="1.0" encoding="utf-8"?>
<sst xmlns="http://schemas.openxmlformats.org/spreadsheetml/2006/main" count="977" uniqueCount="261">
  <si>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</si>
  <si>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</si>
  <si>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</si>
  <si>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</si>
  <si>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</si>
  <si>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</si>
  <si>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</si>
  <si>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</si>
  <si>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</si>
  <si>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</si>
  <si>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</si>
  <si>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</si>
  <si>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</si>
  <si>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</si>
  <si>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</si>
  <si>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</si>
  <si>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</si>
  <si>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</si>
  <si>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</si>
  <si>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</si>
  <si>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</si>
  <si>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</si>
  <si>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</si>
  <si>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</si>
  <si>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</si>
  <si>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</si>
  <si>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</si>
  <si>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</si>
  <si>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</si>
  <si>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</si>
  <si>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</si>
  <si>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</si>
  <si>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</si>
  <si>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</si>
  <si>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</si>
  <si>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</si>
  <si>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</si>
  <si>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</si>
  <si>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</si>
  <si>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</si>
  <si>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</si>
  <si>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</si>
  <si>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</si>
  <si>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</si>
  <si>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</si>
  <si>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</si>
  <si>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</si>
  <si>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</si>
  <si>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</si>
  <si>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</si>
  <si>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</si>
  <si>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</si>
  <si>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</si>
  <si>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</si>
  <si>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</si>
  <si>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</si>
  <si>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</si>
  <si>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</si>
  <si>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</si>
  <si>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</si>
  <si>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</si>
  <si>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</si>
  <si>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</si>
  <si>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</si>
  <si>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</si>
  <si>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</si>
  <si>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</si>
  <si>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</si>
  <si>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</si>
  <si>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</si>
  <si>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</si>
  <si>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</si>
  <si>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</si>
  <si>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</si>
  <si>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</si>
  <si>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</si>
  <si>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</si>
  <si>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</si>
  <si>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</si>
  <si>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</si>
  <si>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</si>
  <si>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</si>
  <si>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</si>
  <si>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</si>
  <si>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</si>
  <si>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</si>
  <si>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</si>
  <si>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</si>
  <si>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</si>
  <si>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</si>
  <si>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</si>
  <si>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</si>
  <si>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</si>
  <si>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</si>
  <si>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</si>
  <si>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</si>
  <si>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</si>
  <si>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</si>
  <si>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</si>
  <si>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</si>
  <si>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</si>
  <si>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</si>
  <si>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</si>
  <si>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</si>
  <si>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</si>
  <si>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</si>
  <si>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</si>
  <si>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</si>
  <si>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</si>
  <si>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</si>
  <si>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</si>
  <si>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</si>
  <si>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</si>
  <si>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</si>
  <si>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</si>
  <si>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</si>
  <si>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</si>
  <si>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</si>
  <si>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</si>
  <si>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</si>
  <si>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</si>
  <si>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</si>
  <si>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</si>
  <si>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</si>
  <si>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</si>
  <si>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</si>
  <si>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</si>
  <si>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</si>
  <si>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</si>
  <si>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</si>
  <si>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</si>
  <si>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</si>
  <si>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</si>
  <si>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</si>
  <si>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</si>
  <si>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</si>
  <si>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</si>
  <si>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</si>
  <si>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</si>
  <si>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</si>
  <si>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</si>
  <si>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</si>
  <si>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</si>
  <si>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</si>
  <si>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</si>
  <si>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</si>
  <si>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</si>
  <si>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</si>
  <si>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</si>
  <si>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</si>
  <si>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</si>
  <si>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</si>
  <si>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</si>
  <si>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</si>
  <si>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</si>
  <si>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</si>
  <si>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</si>
  <si>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</si>
  <si>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</si>
  <si>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</si>
  <si>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</si>
  <si>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</si>
  <si>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</si>
  <si>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</si>
  <si>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</si>
  <si>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</si>
  <si>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</si>
  <si>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</si>
  <si>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</si>
  <si>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</si>
  <si>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</si>
  <si>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</si>
  <si>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</si>
  <si>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</si>
  <si>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</si>
  <si>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</si>
  <si>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</si>
  <si>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</si>
  <si>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</si>
  <si>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</si>
  <si>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</si>
  <si>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</si>
  <si>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</si>
  <si>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</si>
  <si>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</si>
  <si>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</si>
  <si>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</si>
  <si>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</si>
  <si>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</si>
  <si>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</si>
  <si>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</si>
  <si>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</si>
  <si>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</si>
  <si>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</si>
  <si>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</si>
  <si>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</si>
  <si>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</si>
  <si>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</si>
  <si>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</si>
  <si>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</si>
  <si>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</si>
  <si>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</si>
  <si>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</si>
  <si>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</si>
  <si>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</si>
  <si>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</si>
  <si>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</si>
  <si>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</si>
  <si>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</si>
  <si>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</si>
  <si>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</si>
  <si>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</si>
  <si>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</si>
  <si>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</si>
  <si>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</si>
  <si>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</si>
  <si>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</si>
  <si>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</si>
  <si>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</si>
  <si>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</si>
  <si>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</si>
  <si>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</si>
  <si>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</si>
  <si>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</si>
  <si>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</si>
  <si>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</si>
  <si>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</si>
  <si>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</si>
  <si>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</si>
  <si>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</si>
  <si>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</si>
  <si>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</si>
  <si>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</si>
  <si>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</si>
  <si>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</si>
  <si>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</si>
  <si>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</si>
  <si>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EBITDA</t>
  </si>
  <si>
    <t>EBIT</t>
  </si>
  <si>
    <t>EBT</t>
  </si>
  <si>
    <t>notes</t>
  </si>
  <si>
    <t>filter-header: alt+A+T</t>
  </si>
  <si>
    <t xml:space="preserve">remaining just the value: </t>
  </si>
  <si>
    <t>1. ctrl+C the area</t>
  </si>
  <si>
    <t>2. alt+E+S</t>
  </si>
  <si>
    <t>Building a P&amp;L  --&gt;</t>
  </si>
  <si>
    <t>P&amp;L Statement</t>
  </si>
  <si>
    <t>Total Revenues</t>
  </si>
  <si>
    <t>Gross Margin</t>
  </si>
  <si>
    <t>EUR in millions</t>
  </si>
  <si>
    <t>Var%
FY16-FY17</t>
  </si>
  <si>
    <t>Var%
FY17-FY18</t>
  </si>
  <si>
    <t>KPIs</t>
  </si>
  <si>
    <t>GM%</t>
  </si>
  <si>
    <t>EBITDA%</t>
  </si>
  <si>
    <t>EBIT%</t>
  </si>
  <si>
    <t>Column stacked chart</t>
  </si>
  <si>
    <t>Gross Margin %</t>
  </si>
  <si>
    <t>Charts  --&gt;</t>
  </si>
  <si>
    <t>Dougnut chart</t>
  </si>
  <si>
    <t>Revenues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</si>
</sst>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_(* #,##0.0_);_(* \(#,##0.0\);_(* &quot;-&quot;??_);_(@_)"/>
    <numFmt numFmtId="168" formatCode="0.0%"/>
  </numFmts>
  <fonts count="2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Calibri"/>
      <family val="2"/>
      <scheme val="minor"/>
    </font>
    <font>
      <b/>
      <sz val="12"/>
      <color rgb="FF002060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rgb="FF002060"/>
      <name val="Arial"/>
      <family val="2"/>
      <charset val="238"/>
    </font>
    <font>
      <b/>
      <sz val="9"/>
      <color theme="0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49" fontId="1" fillId="2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20" fillId="2" borderId="0" xfId="0" applyFont="1" applyFill="1"/>
    <xf numFmtId="0" fontId="21" fillId="2" borderId="2" xfId="0" applyFont="1" applyFill="1" applyBorder="1"/>
    <xf numFmtId="0" fontId="20" fillId="2" borderId="3" xfId="0" applyFont="1" applyFill="1" applyBorder="1"/>
    <xf numFmtId="0" fontId="22" fillId="3" borderId="3" xfId="0" applyFont="1" applyFill="1" applyBorder="1"/>
    <xf numFmtId="0" fontId="23" fillId="2" borderId="4" xfId="0" applyFont="1" applyFill="1" applyBorder="1"/>
    <xf numFmtId="166" fontId="20" fillId="2" borderId="0" xfId="0" applyNumberFormat="1" applyFont="1" applyFill="1"/>
    <xf numFmtId="166" fontId="20" fillId="2" borderId="3" xfId="0" applyNumberFormat="1" applyFont="1" applyFill="1" applyBorder="1"/>
    <xf numFmtId="166" fontId="22" fillId="3" borderId="3" xfId="0" applyNumberFormat="1" applyFont="1" applyFill="1" applyBorder="1"/>
    <xf numFmtId="166" fontId="23" fillId="2" borderId="4" xfId="0" applyNumberFormat="1" applyFont="1" applyFill="1" applyBorder="1"/>
    <xf numFmtId="166" fontId="23" fillId="2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4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4" fillId="2" borderId="5" xfId="4" applyFont="1" applyFill="1" applyBorder="1" applyAlignment="1">
      <alignment horizontal="right"/>
    </xf>
    <xf numFmtId="0" fontId="25" fillId="4" borderId="0" xfId="0" applyFont="1" applyFill="1"/>
    <xf numFmtId="167" fontId="25" fillId="4" borderId="0" xfId="0" applyNumberFormat="1" applyFont="1" applyFill="1"/>
    <xf numFmtId="9" fontId="25" fillId="4" borderId="0" xfId="4" applyFont="1" applyFill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right"/>
    </xf>
    <xf numFmtId="2" fontId="1" fillId="2" borderId="0" xfId="0" applyNumberFormat="1" applyFont="1" applyFill="1"/>
    <xf numFmtId="166" fontId="1" fillId="2" borderId="0" xfId="0" applyNumberFormat="1" applyFont="1" applyFill="1"/>
    <xf numFmtId="168" fontId="1" fillId="2" borderId="0" xfId="4" applyNumberFormat="1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7-452B-99DC-DDC9F86044BE}"/>
            </c:ext>
          </c:extLst>
        </c:ser>
        <c:ser>
          <c:idx val="1"/>
          <c:order val="1"/>
          <c:tx>
            <c:strRef>
              <c:f>'Stacked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7-452B-99DC-DDC9F86044BE}"/>
            </c:ext>
          </c:extLst>
        </c:ser>
        <c:ser>
          <c:idx val="2"/>
          <c:order val="2"/>
          <c:tx>
            <c:strRef>
              <c:f>'Stacked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7-452B-99DC-DDC9F8604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6928368"/>
        <c:axId val="526919728"/>
      </c:barChart>
      <c:lineChart>
        <c:grouping val="standard"/>
        <c:varyColors val="0"/>
        <c:ser>
          <c:idx val="3"/>
          <c:order val="3"/>
          <c:tx>
            <c:strRef>
              <c:f>'Stacked column'!$B$7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17-452B-99DC-DDC9F8604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26928"/>
        <c:axId val="526924408"/>
      </c:lineChart>
      <c:catAx>
        <c:axId val="5269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hu-HU"/>
          </a:p>
        </c:txPr>
        <c:crossAx val="526919728"/>
        <c:crosses val="autoZero"/>
        <c:auto val="1"/>
        <c:lblAlgn val="ctr"/>
        <c:lblOffset val="100"/>
        <c:noMultiLvlLbl val="0"/>
      </c:catAx>
      <c:valAx>
        <c:axId val="5269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hu-HU"/>
          </a:p>
        </c:txPr>
        <c:crossAx val="526928368"/>
        <c:crosses val="autoZero"/>
        <c:crossBetween val="between"/>
      </c:valAx>
      <c:valAx>
        <c:axId val="52692440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hu-HU"/>
          </a:p>
        </c:txPr>
        <c:crossAx val="526926928"/>
        <c:crosses val="max"/>
        <c:crossBetween val="between"/>
      </c:valAx>
      <c:catAx>
        <c:axId val="526926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6924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 sz="12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Breakdown</a:t>
            </a:r>
            <a:r>
              <a:rPr lang="hu-HU" sz="12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of Revenues in FY18</a:t>
            </a:r>
            <a:endParaRPr lang="en-US" sz="12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"/>
          <c:y val="6.3643548022564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'Dougnut chart'!$E$3</c:f>
              <c:strCache>
                <c:ptCount val="1"/>
                <c:pt idx="0">
                  <c:v>FY18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D0-4990-A89D-F6B5BF8707AA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BD0-4990-A89D-F6B5BF8707A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D0-4990-A89D-F6B5BF870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0-4990-A89D-F6B5BF870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hu-HU" sz="1000" b="1">
                <a:solidFill>
                  <a:srgbClr val="002060"/>
                </a:solidFill>
              </a:rPr>
              <a:t>FY16-FY18</a:t>
            </a:r>
            <a:r>
              <a:rPr lang="hu-HU" sz="1000" b="1" baseline="0">
                <a:solidFill>
                  <a:srgbClr val="002060"/>
                </a:solidFill>
              </a:rPr>
              <a:t> Revenues and Gross Margin %</a:t>
            </a:r>
            <a:endParaRPr lang="hu-HU" sz="1000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8951224846894125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hu-HU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C2-447B-8EF2-8824B209E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672272"/>
        <c:axId val="644667952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C2-447B-8EF2-8824B209E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91536"/>
        <c:axId val="370193336"/>
      </c:lineChart>
      <c:catAx>
        <c:axId val="64467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hu-HU"/>
          </a:p>
        </c:txPr>
        <c:crossAx val="644667952"/>
        <c:crosses val="autoZero"/>
        <c:auto val="1"/>
        <c:lblAlgn val="ctr"/>
        <c:lblOffset val="100"/>
        <c:noMultiLvlLbl val="0"/>
      </c:catAx>
      <c:valAx>
        <c:axId val="64466795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hu-HU"/>
          </a:p>
        </c:txPr>
        <c:crossAx val="644672272"/>
        <c:crosses val="autoZero"/>
        <c:crossBetween val="between"/>
      </c:valAx>
      <c:valAx>
        <c:axId val="37019333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hu-HU"/>
          </a:p>
        </c:txPr>
        <c:crossAx val="370191536"/>
        <c:crosses val="max"/>
        <c:crossBetween val="between"/>
      </c:valAx>
      <c:catAx>
        <c:axId val="370191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0193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hu-H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8</xdr:row>
      <xdr:rowOff>133350</xdr:rowOff>
    </xdr:from>
    <xdr:to>
      <xdr:col>12</xdr:col>
      <xdr:colOff>428625</xdr:colOff>
      <xdr:row>24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CEA4A8-6A75-3A90-7AE2-ACEC8A633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8</xdr:row>
      <xdr:rowOff>61911</xdr:rowOff>
    </xdr:from>
    <xdr:to>
      <xdr:col>9</xdr:col>
      <xdr:colOff>542925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C2487F-79A3-6FA4-C0B8-ADAA0193F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0.26087</cdr:x>
      <cdr:y>0.45505</cdr:y>
    </cdr:from>
    <cdr:to>
      <cdr:x>0.45924</cdr:x>
      <cdr:y>0.57916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B732A839-CA77-C08C-400E-094E4547F646}"/>
            </a:ext>
          </a:extLst>
        </cdr:cNvPr>
        <cdr:cNvSpPr txBox="1"/>
      </cdr:nvSpPr>
      <cdr:spPr>
        <a:xfrm xmlns:a="http://schemas.openxmlformats.org/drawingml/2006/main">
          <a:off x="914400" y="908050"/>
          <a:ext cx="695325" cy="2476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hu-HU" sz="900" b="1">
              <a:latin typeface="Arial" panose="020B0604020202020204" pitchFamily="34" charset="0"/>
              <a:cs typeface="Arial" panose="020B0604020202020204" pitchFamily="34" charset="0"/>
            </a:rPr>
            <a:t>€26.3m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419099</xdr:colOff>
      <xdr:row>8</xdr:row>
      <xdr:rowOff>100012</xdr:rowOff>
    </xdr:from>
    <xdr:to>
      <xdr:col>12</xdr:col>
      <xdr:colOff>219074</xdr:colOff>
      <xdr:row>24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CB2EE6-2ED3-4133-6569-AB955EFEE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/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21" sqref="C21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107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18" t="s">
        <v>108</v>
      </c>
    </row>
    <row r="8" spans="2:4" x14ac:dyDescent="0.2">
      <c r="B8" s="7">
        <v>4</v>
      </c>
      <c r="C8" s="18" t="s">
        <v>109</v>
      </c>
    </row>
    <row r="9" spans="2:4" x14ac:dyDescent="0.2">
      <c r="B9" s="7">
        <v>5</v>
      </c>
      <c r="C9" s="18" t="s">
        <v>110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/>
      <c r="C17" s="14"/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/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6.140625" style="2" bestFit="1" customWidth="1"/>
    <col min="8" max="8" width="9.140625" style="1"/>
    <col min="9" max="16384" width="9.140625" style="2"/>
  </cols>
  <sheetData>
    <row r="1" spans="2:7" ht="15.75" x14ac:dyDescent="0.25">
      <c r="B1" s="3" t="s">
        <v>111</v>
      </c>
    </row>
    <row r="4" spans="2:7" x14ac:dyDescent="0.25">
      <c r="B4" s="2" t="s">
        <v>114</v>
      </c>
      <c r="C4" s="2" t="s">
        <v>98</v>
      </c>
      <c r="D4" s="2" t="s">
        <v>31</v>
      </c>
      <c r="E4" s="2" t="s">
        <v>99</v>
      </c>
      <c r="F4" s="2" t="s">
        <v>100</v>
      </c>
      <c r="G4" s="2" t="s">
        <v>101</v>
      </c>
    </row>
    <row r="5" spans="2:7" x14ac:dyDescent="0.25">
      <c r="B5" s="2" t="s">
        <v>115</v>
      </c>
      <c r="C5" s="2" t="s">
        <v>65</v>
      </c>
      <c r="D5" s="19">
        <v>111111</v>
      </c>
      <c r="E5" s="2" t="s">
        <v>102</v>
      </c>
      <c r="F5" s="16">
        <v>-14500341</v>
      </c>
      <c r="G5" s="2">
        <v>2001110000</v>
      </c>
    </row>
    <row r="6" spans="2:7" x14ac:dyDescent="0.25">
      <c r="B6" s="2" t="s">
        <v>116</v>
      </c>
      <c r="C6" s="2" t="s">
        <v>66</v>
      </c>
      <c r="D6" s="19">
        <v>111111</v>
      </c>
      <c r="E6" s="2" t="s">
        <v>102</v>
      </c>
      <c r="F6" s="16">
        <v>-4794856.1919999998</v>
      </c>
      <c r="G6" s="2">
        <v>2001190000</v>
      </c>
    </row>
    <row r="7" spans="2:7" x14ac:dyDescent="0.25">
      <c r="B7" s="2" t="s">
        <v>117</v>
      </c>
      <c r="C7" s="2" t="s">
        <v>67</v>
      </c>
      <c r="D7" s="19">
        <v>1009</v>
      </c>
      <c r="E7" s="2" t="s">
        <v>35</v>
      </c>
      <c r="F7" s="16">
        <v>-154890.4</v>
      </c>
      <c r="G7" s="2">
        <v>2020000000</v>
      </c>
    </row>
    <row r="8" spans="2:7" x14ac:dyDescent="0.25">
      <c r="B8" s="2" t="s">
        <v>118</v>
      </c>
      <c r="C8" s="2" t="s">
        <v>67</v>
      </c>
      <c r="D8" s="19">
        <v>1007</v>
      </c>
      <c r="E8" s="2" t="s">
        <v>37</v>
      </c>
      <c r="F8" s="16">
        <v>-1180894.0520000001</v>
      </c>
      <c r="G8" s="2">
        <v>2020000000</v>
      </c>
    </row>
    <row r="9" spans="2:7" x14ac:dyDescent="0.25">
      <c r="B9" s="2" t="s">
        <v>119</v>
      </c>
      <c r="C9" s="2" t="s">
        <v>67</v>
      </c>
      <c r="D9" s="19">
        <v>1008</v>
      </c>
      <c r="E9" s="2" t="s">
        <v>39</v>
      </c>
      <c r="F9" s="16">
        <v>-793079.51199999999</v>
      </c>
      <c r="G9" s="2">
        <v>2020000000</v>
      </c>
    </row>
    <row r="10" spans="2:7" x14ac:dyDescent="0.25">
      <c r="B10" s="2" t="s">
        <v>120</v>
      </c>
      <c r="C10" s="2" t="s">
        <v>67</v>
      </c>
      <c r="D10" s="19">
        <v>111101</v>
      </c>
      <c r="E10" s="2" t="s">
        <v>0</v>
      </c>
      <c r="F10" s="16">
        <v>-2277197.6</v>
      </c>
      <c r="G10" s="2">
        <v>2020000000</v>
      </c>
    </row>
    <row r="11" spans="2:7" x14ac:dyDescent="0.25">
      <c r="B11" s="2" t="s">
        <v>121</v>
      </c>
      <c r="C11" s="2" t="s">
        <v>103</v>
      </c>
      <c r="D11" s="19">
        <v>111111</v>
      </c>
      <c r="E11" s="2" t="s">
        <v>102</v>
      </c>
      <c r="F11" s="16">
        <v>4428911.7640000004</v>
      </c>
      <c r="G11" s="2">
        <v>2021900000</v>
      </c>
    </row>
    <row r="12" spans="2:7" x14ac:dyDescent="0.25">
      <c r="B12" s="2" t="s">
        <v>122</v>
      </c>
      <c r="C12" s="2" t="s">
        <v>69</v>
      </c>
      <c r="D12" s="19">
        <v>111111</v>
      </c>
      <c r="E12" s="2" t="s">
        <v>102</v>
      </c>
      <c r="F12" s="16">
        <v>16977.628000000001</v>
      </c>
      <c r="G12" s="2">
        <v>2024080000</v>
      </c>
    </row>
    <row r="13" spans="2:7" x14ac:dyDescent="0.25">
      <c r="B13" s="2" t="s">
        <v>123</v>
      </c>
      <c r="C13" s="2" t="s">
        <v>68</v>
      </c>
      <c r="D13" s="19">
        <v>88</v>
      </c>
      <c r="E13" s="2" t="s">
        <v>32</v>
      </c>
      <c r="F13" s="16">
        <v>2245437.54</v>
      </c>
      <c r="G13" s="2">
        <v>2024090000</v>
      </c>
    </row>
    <row r="14" spans="2:7" x14ac:dyDescent="0.25">
      <c r="B14" s="2" t="s">
        <v>124</v>
      </c>
      <c r="C14" s="2" t="s">
        <v>68</v>
      </c>
      <c r="D14" s="19">
        <v>111111</v>
      </c>
      <c r="E14" s="2" t="s">
        <v>102</v>
      </c>
      <c r="F14" s="16">
        <v>16605.634000000002</v>
      </c>
      <c r="G14" s="2">
        <v>2024090000</v>
      </c>
    </row>
    <row r="15" spans="2:7" x14ac:dyDescent="0.25">
      <c r="B15" s="2" t="s">
        <v>125</v>
      </c>
      <c r="C15" s="2" t="s">
        <v>1</v>
      </c>
      <c r="D15" s="19">
        <v>111111</v>
      </c>
      <c r="E15" s="2" t="s">
        <v>102</v>
      </c>
      <c r="F15" s="16">
        <v>4683394.0460000001</v>
      </c>
      <c r="G15" s="2">
        <v>2041000000</v>
      </c>
    </row>
    <row r="16" spans="2:7" x14ac:dyDescent="0.25">
      <c r="B16" s="2" t="s">
        <v>126</v>
      </c>
      <c r="C16" s="2" t="s">
        <v>70</v>
      </c>
      <c r="D16" s="19">
        <v>111101</v>
      </c>
      <c r="E16" s="2" t="s">
        <v>0</v>
      </c>
      <c r="F16" s="16">
        <v>1143051.5760000001</v>
      </c>
      <c r="G16" s="2">
        <v>2042000000</v>
      </c>
    </row>
    <row r="17" spans="2:7" x14ac:dyDescent="0.25">
      <c r="B17" s="2" t="s">
        <v>127</v>
      </c>
      <c r="C17" s="2" t="s">
        <v>70</v>
      </c>
      <c r="D17" s="19">
        <v>88</v>
      </c>
      <c r="E17" s="2" t="s">
        <v>32</v>
      </c>
      <c r="F17" s="16">
        <v>239379.61800000002</v>
      </c>
      <c r="G17" s="2">
        <v>2042000000</v>
      </c>
    </row>
    <row r="18" spans="2:7" x14ac:dyDescent="0.25">
      <c r="B18" s="2" t="s">
        <v>128</v>
      </c>
      <c r="C18" s="2" t="s">
        <v>71</v>
      </c>
      <c r="D18" s="19">
        <v>111101</v>
      </c>
      <c r="E18" s="2" t="s">
        <v>0</v>
      </c>
      <c r="F18" s="16">
        <v>104913.8</v>
      </c>
      <c r="G18" s="2">
        <v>2045000000</v>
      </c>
    </row>
    <row r="19" spans="2:7" x14ac:dyDescent="0.25">
      <c r="B19" s="2" t="s">
        <v>129</v>
      </c>
      <c r="C19" s="2" t="s">
        <v>72</v>
      </c>
      <c r="D19" s="19">
        <v>111101</v>
      </c>
      <c r="E19" s="2" t="s">
        <v>0</v>
      </c>
      <c r="F19" s="16">
        <v>2003262.2180000001</v>
      </c>
      <c r="G19" s="2">
        <v>2051210000</v>
      </c>
    </row>
    <row r="20" spans="2:7" x14ac:dyDescent="0.25">
      <c r="B20" s="2" t="s">
        <v>130</v>
      </c>
      <c r="C20" s="2" t="s">
        <v>72</v>
      </c>
      <c r="D20" s="19">
        <v>1</v>
      </c>
      <c r="E20" s="2" t="s">
        <v>0</v>
      </c>
      <c r="F20" s="16">
        <v>41981.296000000002</v>
      </c>
      <c r="G20" s="2">
        <v>2051210000</v>
      </c>
    </row>
    <row r="21" spans="2:7" x14ac:dyDescent="0.25">
      <c r="B21" s="2" t="s">
        <v>131</v>
      </c>
      <c r="C21" s="2" t="s">
        <v>73</v>
      </c>
      <c r="D21" s="19" t="s">
        <v>3</v>
      </c>
      <c r="E21" s="2" t="s">
        <v>40</v>
      </c>
      <c r="F21" s="16">
        <v>-2156147.4</v>
      </c>
      <c r="G21" s="2">
        <v>2069010000</v>
      </c>
    </row>
    <row r="22" spans="2:7" x14ac:dyDescent="0.25">
      <c r="B22" s="2" t="s">
        <v>132</v>
      </c>
      <c r="C22" s="2" t="s">
        <v>73</v>
      </c>
      <c r="D22" s="19">
        <v>14</v>
      </c>
      <c r="E22" s="2" t="s">
        <v>41</v>
      </c>
      <c r="F22" s="16">
        <v>-291428.55199999997</v>
      </c>
      <c r="G22" s="2">
        <v>2069010000</v>
      </c>
    </row>
    <row r="23" spans="2:7" x14ac:dyDescent="0.25">
      <c r="B23" s="2" t="s">
        <v>133</v>
      </c>
      <c r="C23" s="2" t="s">
        <v>73</v>
      </c>
      <c r="D23" s="19">
        <v>1037</v>
      </c>
      <c r="E23" s="2" t="s">
        <v>46</v>
      </c>
      <c r="F23" s="16">
        <v>0</v>
      </c>
      <c r="G23" s="2">
        <v>2069010000</v>
      </c>
    </row>
    <row r="24" spans="2:7" x14ac:dyDescent="0.25">
      <c r="B24" s="2" t="s">
        <v>134</v>
      </c>
      <c r="C24" s="2" t="s">
        <v>73</v>
      </c>
      <c r="D24" s="19" t="s">
        <v>4</v>
      </c>
      <c r="E24" s="2" t="s">
        <v>45</v>
      </c>
      <c r="F24" s="16">
        <v>-33736.5</v>
      </c>
      <c r="G24" s="2">
        <v>2069010000</v>
      </c>
    </row>
    <row r="25" spans="2:7" x14ac:dyDescent="0.25">
      <c r="B25" s="2" t="s">
        <v>135</v>
      </c>
      <c r="C25" s="2" t="s">
        <v>73</v>
      </c>
      <c r="D25" s="19">
        <v>1009</v>
      </c>
      <c r="E25" s="2" t="s">
        <v>35</v>
      </c>
      <c r="F25" s="16">
        <v>0</v>
      </c>
      <c r="G25" s="2">
        <v>2069010000</v>
      </c>
    </row>
    <row r="26" spans="2:7" x14ac:dyDescent="0.25">
      <c r="B26" s="2" t="s">
        <v>136</v>
      </c>
      <c r="C26" s="2" t="s">
        <v>73</v>
      </c>
      <c r="D26" s="19">
        <v>1007</v>
      </c>
      <c r="E26" s="2" t="s">
        <v>37</v>
      </c>
      <c r="F26" s="16">
        <v>0</v>
      </c>
      <c r="G26" s="2">
        <v>2069010000</v>
      </c>
    </row>
    <row r="27" spans="2:7" x14ac:dyDescent="0.25">
      <c r="B27" s="2" t="s">
        <v>137</v>
      </c>
      <c r="C27" s="2" t="s">
        <v>73</v>
      </c>
      <c r="D27" s="19">
        <v>1008</v>
      </c>
      <c r="E27" s="2" t="s">
        <v>39</v>
      </c>
      <c r="F27" s="16">
        <v>0</v>
      </c>
      <c r="G27" s="2">
        <v>2069010000</v>
      </c>
    </row>
    <row r="28" spans="2:7" x14ac:dyDescent="0.25">
      <c r="B28" s="2" t="s">
        <v>138</v>
      </c>
      <c r="C28" s="2" t="s">
        <v>73</v>
      </c>
      <c r="D28" s="19">
        <v>1240</v>
      </c>
      <c r="E28" s="2" t="s">
        <v>44</v>
      </c>
      <c r="F28" s="16">
        <v>-199600.4</v>
      </c>
      <c r="G28" s="2">
        <v>2069010000</v>
      </c>
    </row>
    <row r="29" spans="2:7" x14ac:dyDescent="0.25">
      <c r="B29" s="2" t="s">
        <v>139</v>
      </c>
      <c r="C29" s="2" t="s">
        <v>73</v>
      </c>
      <c r="D29" s="19">
        <v>111111</v>
      </c>
      <c r="E29" s="2" t="s">
        <v>102</v>
      </c>
      <c r="F29" s="16">
        <v>-539141.4</v>
      </c>
      <c r="G29" s="2">
        <v>2069010000</v>
      </c>
    </row>
    <row r="30" spans="2:7" x14ac:dyDescent="0.25">
      <c r="B30" s="2" t="s">
        <v>140</v>
      </c>
      <c r="C30" s="2" t="s">
        <v>74</v>
      </c>
      <c r="D30" s="19">
        <v>111111</v>
      </c>
      <c r="E30" s="2" t="s">
        <v>102</v>
      </c>
      <c r="F30" s="16">
        <v>-57.221999999999994</v>
      </c>
      <c r="G30" s="2">
        <v>2069980000</v>
      </c>
    </row>
    <row r="31" spans="2:7" x14ac:dyDescent="0.25">
      <c r="B31" s="2" t="s">
        <v>141</v>
      </c>
      <c r="C31" s="2" t="s">
        <v>75</v>
      </c>
      <c r="D31" s="19">
        <v>111111</v>
      </c>
      <c r="E31" s="2" t="s">
        <v>102</v>
      </c>
      <c r="F31" s="16">
        <v>22314.879999999997</v>
      </c>
      <c r="G31" s="2">
        <v>2070400000</v>
      </c>
    </row>
    <row r="32" spans="2:7" x14ac:dyDescent="0.25">
      <c r="B32" s="2" t="s">
        <v>142</v>
      </c>
      <c r="C32" s="2" t="s">
        <v>76</v>
      </c>
      <c r="D32" s="19">
        <v>88</v>
      </c>
      <c r="E32" s="2" t="s">
        <v>32</v>
      </c>
      <c r="F32" s="16">
        <v>204000</v>
      </c>
      <c r="G32" s="2">
        <v>2070500000</v>
      </c>
    </row>
    <row r="33" spans="2:7" x14ac:dyDescent="0.25">
      <c r="B33" s="2" t="s">
        <v>143</v>
      </c>
      <c r="C33" s="2" t="s">
        <v>76</v>
      </c>
      <c r="D33" s="19">
        <v>111111</v>
      </c>
      <c r="E33" s="2" t="s">
        <v>102</v>
      </c>
      <c r="F33" s="16">
        <v>138.41399999999999</v>
      </c>
      <c r="G33" s="2">
        <v>2070500000</v>
      </c>
    </row>
    <row r="34" spans="2:7" x14ac:dyDescent="0.25">
      <c r="B34" s="2" t="s">
        <v>144</v>
      </c>
      <c r="C34" s="2" t="s">
        <v>77</v>
      </c>
      <c r="D34" s="19">
        <v>111111</v>
      </c>
      <c r="E34" s="2" t="s">
        <v>102</v>
      </c>
      <c r="F34" s="16">
        <v>1127445.872</v>
      </c>
      <c r="G34" s="2">
        <v>2070600000</v>
      </c>
    </row>
    <row r="35" spans="2:7" x14ac:dyDescent="0.25">
      <c r="B35" s="2" t="s">
        <v>145</v>
      </c>
      <c r="C35" s="2" t="s">
        <v>78</v>
      </c>
      <c r="D35" s="19" t="s">
        <v>5</v>
      </c>
      <c r="E35" s="2" t="s">
        <v>42</v>
      </c>
      <c r="F35" s="16">
        <v>133722</v>
      </c>
      <c r="G35" s="2">
        <v>2070900000</v>
      </c>
    </row>
    <row r="36" spans="2:7" x14ac:dyDescent="0.25">
      <c r="B36" s="2" t="s">
        <v>146</v>
      </c>
      <c r="C36" s="2" t="s">
        <v>78</v>
      </c>
      <c r="D36" s="19" t="s">
        <v>6</v>
      </c>
      <c r="E36" s="2" t="s">
        <v>43</v>
      </c>
      <c r="F36" s="16">
        <v>328061.886</v>
      </c>
      <c r="G36" s="2">
        <v>2070900000</v>
      </c>
    </row>
    <row r="37" spans="2:7" x14ac:dyDescent="0.25">
      <c r="B37" s="2" t="s">
        <v>147</v>
      </c>
      <c r="C37" s="2" t="s">
        <v>78</v>
      </c>
      <c r="D37" s="19">
        <v>111111</v>
      </c>
      <c r="E37" s="2" t="s">
        <v>102</v>
      </c>
      <c r="F37" s="16">
        <v>2081304.3219999997</v>
      </c>
      <c r="G37" s="2">
        <v>2070900000</v>
      </c>
    </row>
    <row r="38" spans="2:7" x14ac:dyDescent="0.25">
      <c r="B38" s="2" t="s">
        <v>148</v>
      </c>
      <c r="C38" s="2" t="s">
        <v>7</v>
      </c>
      <c r="D38" s="19">
        <v>111111</v>
      </c>
      <c r="E38" s="2" t="s">
        <v>102</v>
      </c>
      <c r="F38" s="16">
        <v>33410.031999999999</v>
      </c>
      <c r="G38" s="2">
        <v>2071000000</v>
      </c>
    </row>
    <row r="39" spans="2:7" x14ac:dyDescent="0.25">
      <c r="B39" s="2" t="s">
        <v>149</v>
      </c>
      <c r="C39" s="2" t="s">
        <v>79</v>
      </c>
      <c r="D39" s="19">
        <v>111111</v>
      </c>
      <c r="E39" s="2" t="s">
        <v>102</v>
      </c>
      <c r="F39" s="16">
        <v>213090.85199999998</v>
      </c>
      <c r="G39" s="2">
        <v>2071100000</v>
      </c>
    </row>
    <row r="40" spans="2:7" x14ac:dyDescent="0.25">
      <c r="B40" s="2" t="s">
        <v>150</v>
      </c>
      <c r="C40" s="2" t="s">
        <v>8</v>
      </c>
      <c r="D40" s="19">
        <v>111111</v>
      </c>
      <c r="E40" s="2" t="s">
        <v>102</v>
      </c>
      <c r="F40" s="16">
        <v>1813525.004</v>
      </c>
      <c r="G40" s="2">
        <v>2071209200</v>
      </c>
    </row>
    <row r="41" spans="2:7" x14ac:dyDescent="0.25">
      <c r="B41" s="2" t="s">
        <v>151</v>
      </c>
      <c r="C41" s="2" t="s">
        <v>80</v>
      </c>
      <c r="D41" s="19">
        <v>111111</v>
      </c>
      <c r="E41" s="2" t="s">
        <v>102</v>
      </c>
      <c r="F41" s="16">
        <v>5552.2</v>
      </c>
      <c r="G41" s="2">
        <v>2071209400</v>
      </c>
    </row>
    <row r="42" spans="2:7" x14ac:dyDescent="0.25">
      <c r="B42" s="2" t="s">
        <v>152</v>
      </c>
      <c r="C42" s="2" t="s">
        <v>81</v>
      </c>
      <c r="D42" s="19">
        <v>111111</v>
      </c>
      <c r="E42" s="2" t="s">
        <v>102</v>
      </c>
      <c r="F42" s="16">
        <v>43868.975999999995</v>
      </c>
      <c r="G42" s="2">
        <v>2071209500</v>
      </c>
    </row>
    <row r="43" spans="2:7" x14ac:dyDescent="0.25">
      <c r="B43" s="2" t="s">
        <v>153</v>
      </c>
      <c r="C43" s="2" t="s">
        <v>82</v>
      </c>
      <c r="D43" s="19">
        <v>111101</v>
      </c>
      <c r="E43" s="2" t="s">
        <v>0</v>
      </c>
      <c r="F43" s="16">
        <v>10934.671999999999</v>
      </c>
      <c r="G43" s="2">
        <v>2071980000</v>
      </c>
    </row>
    <row r="44" spans="2:7" x14ac:dyDescent="0.25">
      <c r="B44" s="2" t="s">
        <v>154</v>
      </c>
      <c r="C44" s="2" t="s">
        <v>83</v>
      </c>
      <c r="D44" s="19">
        <v>111111</v>
      </c>
      <c r="E44" s="2" t="s">
        <v>102</v>
      </c>
      <c r="F44" s="16">
        <v>20400</v>
      </c>
      <c r="G44" s="2">
        <v>2079022000</v>
      </c>
    </row>
    <row r="45" spans="2:7" x14ac:dyDescent="0.25">
      <c r="B45" s="2" t="s">
        <v>155</v>
      </c>
      <c r="C45" s="2" t="s">
        <v>84</v>
      </c>
      <c r="D45" s="19">
        <v>105</v>
      </c>
      <c r="E45" s="2" t="s">
        <v>33</v>
      </c>
      <c r="F45" s="16">
        <v>0</v>
      </c>
      <c r="G45" s="2">
        <v>2079070000</v>
      </c>
    </row>
    <row r="46" spans="2:7" x14ac:dyDescent="0.25">
      <c r="B46" s="2" t="s">
        <v>156</v>
      </c>
      <c r="C46" s="2" t="s">
        <v>84</v>
      </c>
      <c r="D46" s="19">
        <v>111111</v>
      </c>
      <c r="E46" s="2" t="s">
        <v>102</v>
      </c>
      <c r="F46" s="16">
        <v>563918.152</v>
      </c>
      <c r="G46" s="2">
        <v>2079070000</v>
      </c>
    </row>
    <row r="47" spans="2:7" x14ac:dyDescent="0.25">
      <c r="B47" s="2" t="s">
        <v>157</v>
      </c>
      <c r="C47" s="2" t="s">
        <v>85</v>
      </c>
      <c r="D47" s="19">
        <v>1009</v>
      </c>
      <c r="E47" s="2" t="s">
        <v>35</v>
      </c>
      <c r="F47" s="16">
        <v>0</v>
      </c>
      <c r="G47" s="2">
        <v>2079080000</v>
      </c>
    </row>
    <row r="48" spans="2:7" x14ac:dyDescent="0.25">
      <c r="B48" s="2" t="s">
        <v>158</v>
      </c>
      <c r="C48" s="2" t="s">
        <v>85</v>
      </c>
      <c r="D48" s="19">
        <v>1007</v>
      </c>
      <c r="E48" s="2" t="s">
        <v>37</v>
      </c>
      <c r="F48" s="16">
        <v>0</v>
      </c>
      <c r="G48" s="2">
        <v>2079080000</v>
      </c>
    </row>
    <row r="49" spans="2:7" x14ac:dyDescent="0.25">
      <c r="B49" s="2" t="s">
        <v>159</v>
      </c>
      <c r="C49" s="2" t="s">
        <v>85</v>
      </c>
      <c r="D49" s="19">
        <v>1008</v>
      </c>
      <c r="E49" s="2" t="s">
        <v>39</v>
      </c>
      <c r="F49" s="16">
        <v>0</v>
      </c>
      <c r="G49" s="2">
        <v>2079080000</v>
      </c>
    </row>
    <row r="50" spans="2:7" x14ac:dyDescent="0.25">
      <c r="B50" s="2" t="s">
        <v>160</v>
      </c>
      <c r="C50" s="2" t="s">
        <v>86</v>
      </c>
      <c r="D50" s="19">
        <v>1009</v>
      </c>
      <c r="E50" s="2" t="s">
        <v>35</v>
      </c>
      <c r="F50" s="16">
        <v>0</v>
      </c>
      <c r="G50" s="2">
        <v>2082280000</v>
      </c>
    </row>
    <row r="51" spans="2:7" x14ac:dyDescent="0.25">
      <c r="B51" s="2" t="s">
        <v>161</v>
      </c>
      <c r="C51" s="2" t="s">
        <v>86</v>
      </c>
      <c r="D51" s="19">
        <v>1007</v>
      </c>
      <c r="E51" s="2" t="s">
        <v>37</v>
      </c>
      <c r="F51" s="16">
        <v>0</v>
      </c>
      <c r="G51" s="2">
        <v>2082280000</v>
      </c>
    </row>
    <row r="52" spans="2:7" x14ac:dyDescent="0.25">
      <c r="B52" s="2" t="s">
        <v>162</v>
      </c>
      <c r="C52" s="2" t="s">
        <v>86</v>
      </c>
      <c r="D52" s="19">
        <v>1008</v>
      </c>
      <c r="E52" s="2" t="s">
        <v>39</v>
      </c>
      <c r="F52" s="16">
        <v>0</v>
      </c>
      <c r="G52" s="2">
        <v>2082280000</v>
      </c>
    </row>
    <row r="53" spans="2:7" x14ac:dyDescent="0.25">
      <c r="B53" s="2" t="s">
        <v>163</v>
      </c>
      <c r="C53" s="2" t="s">
        <v>86</v>
      </c>
      <c r="D53" s="19">
        <v>1240</v>
      </c>
      <c r="E53" s="2" t="s">
        <v>44</v>
      </c>
      <c r="F53" s="16">
        <v>-35810.228000000003</v>
      </c>
      <c r="G53" s="2">
        <v>2082280000</v>
      </c>
    </row>
    <row r="54" spans="2:7" x14ac:dyDescent="0.25">
      <c r="B54" s="2" t="s">
        <v>164</v>
      </c>
      <c r="C54" s="2" t="s">
        <v>86</v>
      </c>
      <c r="D54" s="19">
        <v>111111</v>
      </c>
      <c r="E54" s="2" t="s">
        <v>102</v>
      </c>
      <c r="F54" s="16">
        <v>-51927.417999999998</v>
      </c>
      <c r="G54" s="2">
        <v>2082280000</v>
      </c>
    </row>
    <row r="55" spans="2:7" x14ac:dyDescent="0.25">
      <c r="B55" s="2" t="s">
        <v>165</v>
      </c>
      <c r="C55" s="2" t="s">
        <v>9</v>
      </c>
      <c r="D55" s="19">
        <v>111101</v>
      </c>
      <c r="E55" s="2" t="s">
        <v>0</v>
      </c>
      <c r="F55" s="16">
        <v>-862270.63399999996</v>
      </c>
      <c r="G55" s="2">
        <v>2082202000</v>
      </c>
    </row>
    <row r="56" spans="2:7" x14ac:dyDescent="0.25">
      <c r="B56" s="2" t="s">
        <v>166</v>
      </c>
      <c r="C56" s="2" t="s">
        <v>87</v>
      </c>
      <c r="D56" s="19">
        <v>111101</v>
      </c>
      <c r="E56" s="2" t="s">
        <v>0</v>
      </c>
      <c r="F56" s="16">
        <v>22763</v>
      </c>
      <c r="G56" s="2">
        <v>2082208200</v>
      </c>
    </row>
    <row r="57" spans="2:7" x14ac:dyDescent="0.25">
      <c r="B57" s="2" t="s">
        <v>167</v>
      </c>
      <c r="C57" s="2" t="s">
        <v>88</v>
      </c>
      <c r="D57" s="19">
        <v>88</v>
      </c>
      <c r="E57" s="2" t="s">
        <v>32</v>
      </c>
      <c r="F57" s="16">
        <v>2930430.0120000001</v>
      </c>
      <c r="G57" s="2">
        <v>2082214000</v>
      </c>
    </row>
    <row r="58" spans="2:7" x14ac:dyDescent="0.25">
      <c r="B58" s="2" t="s">
        <v>168</v>
      </c>
      <c r="C58" s="2" t="s">
        <v>89</v>
      </c>
      <c r="D58" s="19">
        <v>111101</v>
      </c>
      <c r="E58" s="2" t="s">
        <v>0</v>
      </c>
      <c r="F58" s="16">
        <v>-49378.641999999993</v>
      </c>
      <c r="G58" s="2">
        <v>2091200000</v>
      </c>
    </row>
    <row r="59" spans="2:7" x14ac:dyDescent="0.25">
      <c r="B59" s="2" t="s">
        <v>169</v>
      </c>
      <c r="C59" s="2" t="s">
        <v>90</v>
      </c>
      <c r="D59" s="19">
        <v>111101</v>
      </c>
      <c r="E59" s="2" t="s">
        <v>0</v>
      </c>
      <c r="F59" s="16">
        <v>516250.67</v>
      </c>
      <c r="G59" s="2">
        <v>2091200001</v>
      </c>
    </row>
    <row r="60" spans="2:7" x14ac:dyDescent="0.25">
      <c r="B60" s="2" t="s">
        <v>170</v>
      </c>
      <c r="C60" s="2" t="s">
        <v>91</v>
      </c>
      <c r="D60" s="19">
        <v>111101</v>
      </c>
      <c r="E60" s="2" t="s">
        <v>0</v>
      </c>
      <c r="F60" s="16">
        <v>21593.093999999997</v>
      </c>
      <c r="G60" s="2">
        <v>2092200000</v>
      </c>
    </row>
    <row r="61" spans="2:7" x14ac:dyDescent="0.25">
      <c r="B61" s="2" t="s">
        <v>171</v>
      </c>
      <c r="C61" s="2" t="s">
        <v>64</v>
      </c>
      <c r="D61" s="19">
        <v>111101</v>
      </c>
      <c r="E61" s="2" t="s">
        <v>0</v>
      </c>
      <c r="F61" s="16">
        <v>-2904117.9939999986</v>
      </c>
      <c r="G61" s="2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I127"/>
  <sheetViews>
    <sheetView workbookViewId="0"/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8" max="8" width="9.140625" style="1"/>
    <col min="9" max="16384" width="9.140625" style="2"/>
  </cols>
  <sheetData>
    <row r="1" spans="2:9" ht="15.75" x14ac:dyDescent="0.25">
      <c r="B1" s="3" t="s">
        <v>112</v>
      </c>
    </row>
    <row r="4" spans="2:9" x14ac:dyDescent="0.25">
      <c r="B4" s="2" t="s">
        <v>114</v>
      </c>
      <c r="C4" s="2" t="s">
        <v>98</v>
      </c>
      <c r="D4" s="2" t="s">
        <v>31</v>
      </c>
      <c r="E4" s="2" t="s">
        <v>99</v>
      </c>
      <c r="F4" s="2" t="s">
        <v>100</v>
      </c>
      <c r="G4" s="2" t="s">
        <v>101</v>
      </c>
      <c r="I4" s="2" t="s">
        <v>240</v>
      </c>
    </row>
    <row r="5" spans="2:9" x14ac:dyDescent="0.25">
      <c r="B5" s="2" t="s">
        <v>172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  <c r="I5" s="2" t="s">
        <v>241</v>
      </c>
    </row>
    <row r="6" spans="2:9" x14ac:dyDescent="0.25">
      <c r="B6" s="2" t="s">
        <v>115</v>
      </c>
      <c r="C6" s="5" t="s">
        <v>65</v>
      </c>
      <c r="D6" s="5">
        <v>111111</v>
      </c>
      <c r="E6" s="5" t="s">
        <v>102</v>
      </c>
      <c r="F6" s="15">
        <v>-15792898.75</v>
      </c>
      <c r="G6" s="5">
        <v>2001110000</v>
      </c>
    </row>
    <row r="7" spans="2:9" x14ac:dyDescent="0.25">
      <c r="B7" s="2" t="s">
        <v>116</v>
      </c>
      <c r="C7" s="5" t="s">
        <v>66</v>
      </c>
      <c r="D7" s="5">
        <v>111111</v>
      </c>
      <c r="E7" s="5" t="s">
        <v>102</v>
      </c>
      <c r="F7" s="15">
        <v>-6960217.6449999996</v>
      </c>
      <c r="G7" s="5">
        <v>2001190000</v>
      </c>
    </row>
    <row r="8" spans="2:9" x14ac:dyDescent="0.25">
      <c r="B8" s="2" t="s">
        <v>173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  <c r="I8" s="2" t="s">
        <v>242</v>
      </c>
    </row>
    <row r="9" spans="2:9" x14ac:dyDescent="0.25">
      <c r="B9" s="2" t="s">
        <v>118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  <c r="I9" s="2" t="s">
        <v>243</v>
      </c>
    </row>
    <row r="10" spans="2:9" x14ac:dyDescent="0.25">
      <c r="B10" s="2" t="s">
        <v>119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  <c r="I10" s="2" t="s">
        <v>244</v>
      </c>
    </row>
    <row r="11" spans="2:9" x14ac:dyDescent="0.25">
      <c r="B11" s="2" t="s">
        <v>120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9" x14ac:dyDescent="0.25">
      <c r="B12" s="2" t="s">
        <v>174</v>
      </c>
      <c r="C12" s="5" t="s">
        <v>104</v>
      </c>
      <c r="D12" s="5">
        <v>111111</v>
      </c>
      <c r="E12" s="5" t="s">
        <v>102</v>
      </c>
      <c r="F12" s="15">
        <v>14589.33</v>
      </c>
      <c r="G12" s="5">
        <v>2021210000</v>
      </c>
    </row>
    <row r="13" spans="2:9" x14ac:dyDescent="0.25">
      <c r="B13" s="2" t="s">
        <v>121</v>
      </c>
      <c r="C13" s="5" t="s">
        <v>103</v>
      </c>
      <c r="D13" s="5">
        <v>111111</v>
      </c>
      <c r="E13" s="5" t="s">
        <v>102</v>
      </c>
      <c r="F13" s="15">
        <v>5463188.8250000002</v>
      </c>
      <c r="G13" s="5">
        <v>2021900000</v>
      </c>
    </row>
    <row r="14" spans="2:9" x14ac:dyDescent="0.25">
      <c r="B14" s="2" t="s">
        <v>122</v>
      </c>
      <c r="C14" s="5" t="s">
        <v>69</v>
      </c>
      <c r="D14" s="5">
        <v>111111</v>
      </c>
      <c r="E14" s="5" t="s">
        <v>102</v>
      </c>
      <c r="F14" s="15">
        <v>343675</v>
      </c>
      <c r="G14" s="5">
        <v>2024080000</v>
      </c>
    </row>
    <row r="15" spans="2:9" x14ac:dyDescent="0.25">
      <c r="B15" s="2" t="s">
        <v>175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9" x14ac:dyDescent="0.25">
      <c r="B16" s="2" t="s">
        <v>123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176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177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178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124</v>
      </c>
      <c r="C20" s="5" t="s">
        <v>68</v>
      </c>
      <c r="D20" s="5">
        <v>111111</v>
      </c>
      <c r="E20" s="5" t="s">
        <v>102</v>
      </c>
      <c r="F20" s="15">
        <v>27148.625</v>
      </c>
      <c r="G20" s="5">
        <v>2024090000</v>
      </c>
    </row>
    <row r="21" spans="2:7" x14ac:dyDescent="0.25">
      <c r="B21" s="2" t="s">
        <v>125</v>
      </c>
      <c r="C21" s="5" t="s">
        <v>1</v>
      </c>
      <c r="D21" s="5">
        <v>111111</v>
      </c>
      <c r="E21" s="5" t="s">
        <v>102</v>
      </c>
      <c r="F21" s="15">
        <v>5507141.0549999997</v>
      </c>
      <c r="G21" s="5">
        <v>2041000000</v>
      </c>
    </row>
    <row r="22" spans="2:7" x14ac:dyDescent="0.25">
      <c r="B22" s="2" t="s">
        <v>126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126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128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179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129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180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181</v>
      </c>
      <c r="C28" s="5" t="s">
        <v>15</v>
      </c>
      <c r="D28" s="5">
        <v>111111</v>
      </c>
      <c r="E28" s="5" t="s">
        <v>102</v>
      </c>
      <c r="F28" s="15">
        <v>-121553.07499999998</v>
      </c>
      <c r="G28" s="5">
        <v>2060220000</v>
      </c>
    </row>
    <row r="29" spans="2:7" x14ac:dyDescent="0.25">
      <c r="B29" s="2" t="s">
        <v>131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182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183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184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135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136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137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138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136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185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139</v>
      </c>
      <c r="C39" s="5" t="s">
        <v>73</v>
      </c>
      <c r="D39" s="5">
        <v>111111</v>
      </c>
      <c r="E39" s="5" t="s">
        <v>102</v>
      </c>
      <c r="F39" s="15">
        <v>-6785.94</v>
      </c>
      <c r="G39" s="5">
        <v>2069010000</v>
      </c>
    </row>
    <row r="40" spans="2:7" x14ac:dyDescent="0.25">
      <c r="B40" s="2" t="s">
        <v>186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140</v>
      </c>
      <c r="C41" s="5" t="s">
        <v>74</v>
      </c>
      <c r="D41" s="5">
        <v>111111</v>
      </c>
      <c r="E41" s="5" t="s">
        <v>102</v>
      </c>
      <c r="F41" s="15">
        <v>9793.84</v>
      </c>
      <c r="G41" s="5">
        <v>2069980000</v>
      </c>
    </row>
    <row r="42" spans="2:7" x14ac:dyDescent="0.25">
      <c r="B42" s="2" t="s">
        <v>187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141</v>
      </c>
      <c r="C43" s="5" t="s">
        <v>75</v>
      </c>
      <c r="D43" s="5">
        <v>111111</v>
      </c>
      <c r="E43" s="5" t="s">
        <v>102</v>
      </c>
      <c r="F43" s="15">
        <v>65947.7</v>
      </c>
      <c r="G43" s="5">
        <v>2070400000</v>
      </c>
    </row>
    <row r="44" spans="2:7" x14ac:dyDescent="0.25">
      <c r="B44" s="2" t="s">
        <v>143</v>
      </c>
      <c r="C44" s="5" t="s">
        <v>76</v>
      </c>
      <c r="D44" s="5">
        <v>111111</v>
      </c>
      <c r="E44" s="5" t="s">
        <v>102</v>
      </c>
      <c r="F44" s="15">
        <v>5138.91</v>
      </c>
      <c r="G44" s="5">
        <v>2070500000</v>
      </c>
    </row>
    <row r="45" spans="2:7" x14ac:dyDescent="0.25">
      <c r="B45" s="2" t="s">
        <v>144</v>
      </c>
      <c r="C45" s="5" t="s">
        <v>77</v>
      </c>
      <c r="D45" s="5">
        <v>111111</v>
      </c>
      <c r="E45" s="5" t="s">
        <v>102</v>
      </c>
      <c r="F45" s="15">
        <v>1055381.4750000001</v>
      </c>
      <c r="G45" s="5">
        <v>2070600000</v>
      </c>
    </row>
    <row r="46" spans="2:7" x14ac:dyDescent="0.25">
      <c r="B46" s="2" t="s">
        <v>146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188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147</v>
      </c>
      <c r="C48" s="5" t="s">
        <v>78</v>
      </c>
      <c r="D48" s="5">
        <v>111111</v>
      </c>
      <c r="E48" s="5" t="s">
        <v>102</v>
      </c>
      <c r="F48" s="15">
        <v>1130021</v>
      </c>
      <c r="G48" s="5">
        <v>2070900000</v>
      </c>
    </row>
    <row r="49" spans="2:7" x14ac:dyDescent="0.25">
      <c r="B49" s="2" t="s">
        <v>148</v>
      </c>
      <c r="C49" s="5" t="s">
        <v>7</v>
      </c>
      <c r="D49" s="5">
        <v>111111</v>
      </c>
      <c r="E49" s="5" t="s">
        <v>102</v>
      </c>
      <c r="F49" s="15">
        <v>7293.5450000000001</v>
      </c>
      <c r="G49" s="5">
        <v>2071000000</v>
      </c>
    </row>
    <row r="50" spans="2:7" x14ac:dyDescent="0.25">
      <c r="B50" s="2" t="s">
        <v>189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149</v>
      </c>
      <c r="C51" s="5" t="s">
        <v>79</v>
      </c>
      <c r="D51" s="5">
        <v>111111</v>
      </c>
      <c r="E51" s="5" t="s">
        <v>102</v>
      </c>
      <c r="F51" s="15">
        <v>48468.665000000001</v>
      </c>
      <c r="G51" s="5">
        <v>2071100000</v>
      </c>
    </row>
    <row r="52" spans="2:7" x14ac:dyDescent="0.25">
      <c r="B52" s="2" t="s">
        <v>190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150</v>
      </c>
      <c r="C53" s="5" t="s">
        <v>8</v>
      </c>
      <c r="D53" s="5">
        <v>111111</v>
      </c>
      <c r="E53" s="5" t="s">
        <v>102</v>
      </c>
      <c r="F53" s="15">
        <v>2393259.19</v>
      </c>
      <c r="G53" s="5">
        <v>2071209200</v>
      </c>
    </row>
    <row r="54" spans="2:7" x14ac:dyDescent="0.25">
      <c r="B54" s="2" t="s">
        <v>151</v>
      </c>
      <c r="C54" s="5" t="s">
        <v>80</v>
      </c>
      <c r="D54" s="5">
        <v>111111</v>
      </c>
      <c r="E54" s="5" t="s">
        <v>102</v>
      </c>
      <c r="F54" s="15">
        <v>23069.654999999999</v>
      </c>
      <c r="G54" s="5">
        <v>2071209400</v>
      </c>
    </row>
    <row r="55" spans="2:7" x14ac:dyDescent="0.25">
      <c r="B55" s="2" t="s">
        <v>152</v>
      </c>
      <c r="C55" s="5" t="s">
        <v>81</v>
      </c>
      <c r="D55" s="5">
        <v>111111</v>
      </c>
      <c r="E55" s="5" t="s">
        <v>102</v>
      </c>
      <c r="F55" s="15">
        <v>208366.935</v>
      </c>
      <c r="G55" s="5">
        <v>2071209500</v>
      </c>
    </row>
    <row r="56" spans="2:7" x14ac:dyDescent="0.25">
      <c r="B56" s="2" t="s">
        <v>191</v>
      </c>
      <c r="C56" s="5" t="s">
        <v>20</v>
      </c>
      <c r="D56" s="5">
        <v>111111</v>
      </c>
      <c r="E56" s="5" t="s">
        <v>102</v>
      </c>
      <c r="F56" s="15">
        <v>308232</v>
      </c>
      <c r="G56" s="5">
        <v>2071220000</v>
      </c>
    </row>
    <row r="57" spans="2:7" x14ac:dyDescent="0.25">
      <c r="B57" s="2" t="s">
        <v>192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193</v>
      </c>
      <c r="C58" s="5" t="s">
        <v>21</v>
      </c>
      <c r="D58" s="5">
        <v>111111</v>
      </c>
      <c r="E58" s="5" t="s">
        <v>102</v>
      </c>
      <c r="F58" s="15">
        <v>4045.6150000000002</v>
      </c>
      <c r="G58" s="5">
        <v>2071511000</v>
      </c>
    </row>
    <row r="59" spans="2:7" x14ac:dyDescent="0.25">
      <c r="B59" s="2" t="s">
        <v>194</v>
      </c>
      <c r="C59" s="5" t="s">
        <v>22</v>
      </c>
      <c r="D59" s="5">
        <v>111111</v>
      </c>
      <c r="E59" s="5" t="s">
        <v>102</v>
      </c>
      <c r="F59" s="15">
        <v>49621.144999999997</v>
      </c>
      <c r="G59" s="5">
        <v>2071910000</v>
      </c>
    </row>
    <row r="60" spans="2:7" x14ac:dyDescent="0.25">
      <c r="B60" s="2" t="s">
        <v>153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154</v>
      </c>
      <c r="C61" s="5" t="s">
        <v>83</v>
      </c>
      <c r="D61" s="5">
        <v>111111</v>
      </c>
      <c r="E61" s="5" t="s">
        <v>102</v>
      </c>
      <c r="F61" s="15">
        <v>169489</v>
      </c>
      <c r="G61" s="5">
        <v>2079022000</v>
      </c>
    </row>
    <row r="62" spans="2:7" x14ac:dyDescent="0.25">
      <c r="B62" s="2" t="s">
        <v>195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196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197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156</v>
      </c>
      <c r="C65" s="5" t="s">
        <v>84</v>
      </c>
      <c r="D65" s="5">
        <v>111111</v>
      </c>
      <c r="E65" s="5" t="s">
        <v>102</v>
      </c>
      <c r="F65" s="15">
        <v>638869.13</v>
      </c>
      <c r="G65" s="5">
        <v>2079070000</v>
      </c>
    </row>
    <row r="66" spans="2:7" x14ac:dyDescent="0.25">
      <c r="B66" s="2" t="s">
        <v>198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158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159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199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160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161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162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163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200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161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164</v>
      </c>
      <c r="C76" s="5" t="s">
        <v>86</v>
      </c>
      <c r="D76" s="5">
        <v>111111</v>
      </c>
      <c r="E76" s="5" t="s">
        <v>102</v>
      </c>
      <c r="F76" s="15">
        <v>-2204.7199999999998</v>
      </c>
      <c r="G76" s="5">
        <v>2082280000</v>
      </c>
    </row>
    <row r="77" spans="2:7" x14ac:dyDescent="0.25">
      <c r="B77" s="2" t="s">
        <v>166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167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201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202</v>
      </c>
      <c r="C80" s="5" t="s">
        <v>88</v>
      </c>
      <c r="D80" s="5">
        <v>111111</v>
      </c>
      <c r="E80" s="5" t="s">
        <v>102</v>
      </c>
      <c r="F80" s="15">
        <v>1250.7950000000001</v>
      </c>
      <c r="G80" s="5">
        <v>2082214000</v>
      </c>
    </row>
    <row r="81" spans="2:7" x14ac:dyDescent="0.25">
      <c r="B81" s="2" t="s">
        <v>203</v>
      </c>
      <c r="C81" s="5" t="s">
        <v>105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168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169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204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170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205</v>
      </c>
      <c r="C86" s="5" t="s">
        <v>64</v>
      </c>
      <c r="D86" s="5">
        <v>111101</v>
      </c>
      <c r="E86" s="5" t="s">
        <v>0</v>
      </c>
      <c r="F86" s="15">
        <v>6073808.1600000001</v>
      </c>
      <c r="G86" s="5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autoFilter ref="B4:G86" xr:uid="{00000000-0001-0000-04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/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6.140625" style="2" bestFit="1" customWidth="1"/>
    <col min="8" max="8" width="9.140625" style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114</v>
      </c>
      <c r="C4" s="2" t="s">
        <v>98</v>
      </c>
      <c r="D4" s="2" t="s">
        <v>31</v>
      </c>
      <c r="E4" s="2" t="s">
        <v>99</v>
      </c>
      <c r="F4" s="2" t="s">
        <v>100</v>
      </c>
      <c r="G4" s="2" t="s">
        <v>101</v>
      </c>
    </row>
    <row r="5" spans="2:7" x14ac:dyDescent="0.25">
      <c r="B5" s="2" t="s">
        <v>172</v>
      </c>
      <c r="C5" s="5" t="s">
        <v>65</v>
      </c>
      <c r="D5" s="5">
        <v>105</v>
      </c>
      <c r="E5" s="5" t="s">
        <v>33</v>
      </c>
      <c r="F5" s="16">
        <v>-616462.01899999997</v>
      </c>
      <c r="G5" s="5">
        <v>2001110000</v>
      </c>
    </row>
    <row r="6" spans="2:7" x14ac:dyDescent="0.25">
      <c r="B6" s="2" t="s">
        <v>115</v>
      </c>
      <c r="C6" s="2" t="s">
        <v>65</v>
      </c>
      <c r="D6" s="5">
        <v>111111</v>
      </c>
      <c r="E6" s="2" t="s">
        <v>102</v>
      </c>
      <c r="F6" s="17">
        <v>-14431341</v>
      </c>
      <c r="G6" s="5">
        <v>2001110000</v>
      </c>
    </row>
    <row r="7" spans="2:7" x14ac:dyDescent="0.25">
      <c r="B7" s="2" t="s">
        <v>116</v>
      </c>
      <c r="C7" s="5" t="s">
        <v>66</v>
      </c>
      <c r="D7" s="5">
        <v>111111</v>
      </c>
      <c r="E7" s="5" t="s">
        <v>102</v>
      </c>
      <c r="F7" s="15">
        <v>-6373617.5140000004</v>
      </c>
      <c r="G7" s="5">
        <v>2001190000</v>
      </c>
    </row>
    <row r="8" spans="2:7" x14ac:dyDescent="0.25">
      <c r="B8" s="2" t="s">
        <v>174</v>
      </c>
      <c r="C8" s="5" t="s">
        <v>106</v>
      </c>
      <c r="D8" s="5">
        <v>111111</v>
      </c>
      <c r="E8" s="5" t="s">
        <v>102</v>
      </c>
      <c r="F8" s="15">
        <v>20504.509999999998</v>
      </c>
      <c r="G8" s="5">
        <v>2021210000</v>
      </c>
    </row>
    <row r="9" spans="2:7" x14ac:dyDescent="0.25">
      <c r="B9" s="2" t="s">
        <v>121</v>
      </c>
      <c r="C9" s="5" t="s">
        <v>103</v>
      </c>
      <c r="D9" s="5">
        <v>111111</v>
      </c>
      <c r="E9" s="5" t="s">
        <v>102</v>
      </c>
      <c r="F9" s="15">
        <v>5674152.0669999998</v>
      </c>
      <c r="G9" s="5">
        <v>2021900000</v>
      </c>
    </row>
    <row r="10" spans="2:7" x14ac:dyDescent="0.25">
      <c r="B10" s="2" t="s">
        <v>206</v>
      </c>
      <c r="C10" s="5" t="s">
        <v>24</v>
      </c>
      <c r="D10" s="5">
        <v>111111</v>
      </c>
      <c r="E10" s="5" t="s">
        <v>102</v>
      </c>
      <c r="F10" s="15">
        <v>13691.949999999999</v>
      </c>
      <c r="G10" s="5">
        <v>2024020000</v>
      </c>
    </row>
    <row r="11" spans="2:7" x14ac:dyDescent="0.25">
      <c r="B11" s="2" t="s">
        <v>122</v>
      </c>
      <c r="C11" s="5" t="s">
        <v>69</v>
      </c>
      <c r="D11" s="5">
        <v>111111</v>
      </c>
      <c r="E11" s="5" t="s">
        <v>102</v>
      </c>
      <c r="F11" s="15">
        <v>350370.99399999995</v>
      </c>
      <c r="G11" s="5">
        <v>2024080000</v>
      </c>
    </row>
    <row r="12" spans="2:7" x14ac:dyDescent="0.25">
      <c r="B12" s="2" t="s">
        <v>123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176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177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207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208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209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124</v>
      </c>
      <c r="C18" s="5" t="s">
        <v>68</v>
      </c>
      <c r="D18" s="5">
        <v>111111</v>
      </c>
      <c r="E18" s="5" t="s">
        <v>102</v>
      </c>
      <c r="F18" s="15">
        <v>9783.7069999999985</v>
      </c>
      <c r="G18" s="5">
        <v>2024090000</v>
      </c>
    </row>
    <row r="19" spans="2:7" x14ac:dyDescent="0.25">
      <c r="B19" s="2" t="s">
        <v>125</v>
      </c>
      <c r="C19" s="5" t="s">
        <v>1</v>
      </c>
      <c r="D19" s="5">
        <v>111111</v>
      </c>
      <c r="E19" s="5" t="s">
        <v>102</v>
      </c>
      <c r="F19" s="15">
        <v>3982699.5329999998</v>
      </c>
      <c r="G19" s="5">
        <v>2041000000</v>
      </c>
    </row>
    <row r="20" spans="2:7" x14ac:dyDescent="0.25">
      <c r="B20" s="2" t="s">
        <v>126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126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128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129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180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210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211</v>
      </c>
      <c r="C26" s="5" t="s">
        <v>21</v>
      </c>
      <c r="D26" s="5">
        <v>111111</v>
      </c>
      <c r="E26" s="5" t="s">
        <v>102</v>
      </c>
      <c r="F26" s="15">
        <v>-1252.8369999999998</v>
      </c>
      <c r="G26" s="5">
        <v>2060441000</v>
      </c>
    </row>
    <row r="27" spans="2:7" x14ac:dyDescent="0.25">
      <c r="B27" s="2" t="s">
        <v>131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182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183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184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135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136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137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138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212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136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185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139</v>
      </c>
      <c r="C38" s="5" t="s">
        <v>73</v>
      </c>
      <c r="D38" s="5">
        <v>111111</v>
      </c>
      <c r="E38" s="5" t="s">
        <v>102</v>
      </c>
      <c r="F38" s="15">
        <v>-902857.84299999999</v>
      </c>
      <c r="G38" s="5">
        <v>2069010000</v>
      </c>
    </row>
    <row r="39" spans="2:7" x14ac:dyDescent="0.25">
      <c r="B39" s="2" t="s">
        <v>213</v>
      </c>
      <c r="C39" s="5" t="s">
        <v>26</v>
      </c>
      <c r="D39" s="5">
        <v>111111</v>
      </c>
      <c r="E39" s="5" t="s">
        <v>102</v>
      </c>
      <c r="F39" s="15">
        <v>-61499.999999999993</v>
      </c>
      <c r="G39" s="5">
        <v>2069020000</v>
      </c>
    </row>
    <row r="40" spans="2:7" x14ac:dyDescent="0.25">
      <c r="B40" s="2" t="s">
        <v>214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140</v>
      </c>
      <c r="C41" s="5" t="s">
        <v>74</v>
      </c>
      <c r="D41" s="5">
        <v>111111</v>
      </c>
      <c r="E41" s="5" t="s">
        <v>102</v>
      </c>
      <c r="F41" s="15">
        <v>-15872.001999999999</v>
      </c>
      <c r="G41" s="5">
        <v>2069980000</v>
      </c>
    </row>
    <row r="42" spans="2:7" x14ac:dyDescent="0.25">
      <c r="B42" s="2" t="s">
        <v>141</v>
      </c>
      <c r="C42" s="5" t="s">
        <v>75</v>
      </c>
      <c r="D42" s="5">
        <v>111111</v>
      </c>
      <c r="E42" s="5" t="s">
        <v>102</v>
      </c>
      <c r="F42" s="15">
        <v>57.317999999999998</v>
      </c>
      <c r="G42" s="5">
        <v>2070400000</v>
      </c>
    </row>
    <row r="43" spans="2:7" x14ac:dyDescent="0.25">
      <c r="B43" s="2" t="s">
        <v>143</v>
      </c>
      <c r="C43" s="5" t="s">
        <v>76</v>
      </c>
      <c r="D43" s="5">
        <v>111111</v>
      </c>
      <c r="E43" s="5" t="s">
        <v>102</v>
      </c>
      <c r="F43" s="15">
        <v>19198.66</v>
      </c>
      <c r="G43" s="5">
        <v>2070500000</v>
      </c>
    </row>
    <row r="44" spans="2:7" x14ac:dyDescent="0.25">
      <c r="B44" s="2" t="s">
        <v>215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144</v>
      </c>
      <c r="C45" s="5" t="s">
        <v>77</v>
      </c>
      <c r="D45" s="5">
        <v>111111</v>
      </c>
      <c r="E45" s="5" t="s">
        <v>102</v>
      </c>
      <c r="F45" s="15">
        <v>-172933.44899999999</v>
      </c>
      <c r="G45" s="5">
        <v>2070600000</v>
      </c>
    </row>
    <row r="46" spans="2:7" x14ac:dyDescent="0.25">
      <c r="B46" s="2" t="s">
        <v>188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147</v>
      </c>
      <c r="C47" s="5" t="s">
        <v>78</v>
      </c>
      <c r="D47" s="5">
        <v>111111</v>
      </c>
      <c r="E47" s="5" t="s">
        <v>102</v>
      </c>
      <c r="F47" s="15">
        <v>1481408.47</v>
      </c>
      <c r="G47" s="5">
        <v>2070900000</v>
      </c>
    </row>
    <row r="48" spans="2:7" x14ac:dyDescent="0.25">
      <c r="B48" s="2" t="s">
        <v>148</v>
      </c>
      <c r="C48" s="5" t="s">
        <v>7</v>
      </c>
      <c r="D48" s="5">
        <v>111111</v>
      </c>
      <c r="E48" s="5" t="s">
        <v>102</v>
      </c>
      <c r="F48" s="15">
        <v>40048.799999999996</v>
      </c>
      <c r="G48" s="5">
        <v>2071000000</v>
      </c>
    </row>
    <row r="49" spans="2:7" x14ac:dyDescent="0.25">
      <c r="B49" s="2" t="s">
        <v>216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149</v>
      </c>
      <c r="C50" s="5" t="s">
        <v>79</v>
      </c>
      <c r="D50" s="5">
        <v>111111</v>
      </c>
      <c r="E50" s="5" t="s">
        <v>102</v>
      </c>
      <c r="F50" s="15">
        <v>64039.82699999999</v>
      </c>
      <c r="G50" s="5">
        <v>2071100000</v>
      </c>
    </row>
    <row r="51" spans="2:7" x14ac:dyDescent="0.25">
      <c r="B51" s="2" t="s">
        <v>217</v>
      </c>
      <c r="C51" s="5" t="s">
        <v>27</v>
      </c>
      <c r="D51" s="5">
        <v>111111</v>
      </c>
      <c r="E51" s="5" t="s">
        <v>102</v>
      </c>
      <c r="F51" s="15">
        <v>1352.9999999999998</v>
      </c>
      <c r="G51" s="5">
        <v>2071209100</v>
      </c>
    </row>
    <row r="52" spans="2:7" x14ac:dyDescent="0.25">
      <c r="B52" s="2" t="s">
        <v>150</v>
      </c>
      <c r="C52" s="5" t="s">
        <v>8</v>
      </c>
      <c r="D52" s="5">
        <v>111111</v>
      </c>
      <c r="E52" s="5" t="s">
        <v>102</v>
      </c>
      <c r="F52" s="15">
        <v>2514431.8869999996</v>
      </c>
      <c r="G52" s="5">
        <v>2071209200</v>
      </c>
    </row>
    <row r="53" spans="2:7" x14ac:dyDescent="0.25">
      <c r="B53" s="2" t="s">
        <v>151</v>
      </c>
      <c r="C53" s="5" t="s">
        <v>80</v>
      </c>
      <c r="D53" s="5">
        <v>111111</v>
      </c>
      <c r="E53" s="5" t="s">
        <v>102</v>
      </c>
      <c r="F53" s="15">
        <v>4194.2999999999993</v>
      </c>
      <c r="G53" s="5">
        <v>2071209400</v>
      </c>
    </row>
    <row r="54" spans="2:7" x14ac:dyDescent="0.25">
      <c r="B54" s="2" t="s">
        <v>152</v>
      </c>
      <c r="C54" s="5" t="s">
        <v>81</v>
      </c>
      <c r="D54" s="5">
        <v>111111</v>
      </c>
      <c r="E54" s="5" t="s">
        <v>102</v>
      </c>
      <c r="F54" s="15">
        <v>106525.708</v>
      </c>
      <c r="G54" s="5">
        <v>2071209500</v>
      </c>
    </row>
    <row r="55" spans="2:7" x14ac:dyDescent="0.25">
      <c r="B55" s="2" t="s">
        <v>153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154</v>
      </c>
      <c r="C56" s="5" t="s">
        <v>83</v>
      </c>
      <c r="D56" s="5">
        <v>111111</v>
      </c>
      <c r="E56" s="5" t="s">
        <v>102</v>
      </c>
      <c r="F56" s="15">
        <v>61111.483999999997</v>
      </c>
      <c r="G56" s="5">
        <v>2079022000</v>
      </c>
    </row>
    <row r="57" spans="2:7" x14ac:dyDescent="0.25">
      <c r="B57" s="2" t="s">
        <v>197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155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156</v>
      </c>
      <c r="C59" s="5" t="s">
        <v>84</v>
      </c>
      <c r="D59" s="5">
        <v>111111</v>
      </c>
      <c r="E59" s="5" t="s">
        <v>102</v>
      </c>
      <c r="F59" s="15">
        <v>575626.2649999999</v>
      </c>
      <c r="G59" s="5">
        <v>2079070000</v>
      </c>
    </row>
    <row r="60" spans="2:7" x14ac:dyDescent="0.25">
      <c r="B60" s="2" t="s">
        <v>198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158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199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160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161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162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163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200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164</v>
      </c>
      <c r="C68" s="5" t="s">
        <v>86</v>
      </c>
      <c r="D68" s="5">
        <v>111111</v>
      </c>
      <c r="E68" s="5" t="s">
        <v>102</v>
      </c>
      <c r="F68" s="15">
        <v>-73809.511999999988</v>
      </c>
      <c r="G68" s="5">
        <v>2082280000</v>
      </c>
    </row>
    <row r="69" spans="2:7" x14ac:dyDescent="0.25">
      <c r="B69" s="2" t="s">
        <v>166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167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201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202</v>
      </c>
      <c r="C72" s="5" t="s">
        <v>88</v>
      </c>
      <c r="D72" s="5">
        <v>111111</v>
      </c>
      <c r="E72" s="5" t="s">
        <v>102</v>
      </c>
      <c r="F72" s="15">
        <v>51.454999999999998</v>
      </c>
      <c r="G72" s="5">
        <v>2082214000</v>
      </c>
    </row>
    <row r="73" spans="2:7" x14ac:dyDescent="0.25">
      <c r="B73" s="2" t="s">
        <v>218</v>
      </c>
      <c r="C73" s="5" t="s">
        <v>105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168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169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170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219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205</v>
      </c>
      <c r="C78" s="5" t="s">
        <v>64</v>
      </c>
      <c r="D78" s="5">
        <v>111101</v>
      </c>
      <c r="E78" s="5" t="s">
        <v>0</v>
      </c>
      <c r="F78" s="15">
        <v>-779290.47600000002</v>
      </c>
      <c r="G78" s="5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autoFilter ref="B4:G78" xr:uid="{00000000-0001-0000-0500-000000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/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8" width="11" style="2" bestFit="1" customWidth="1"/>
    <col min="9" max="9" width="2" style="2" customWidth="1"/>
    <col min="10" max="16384" width="9.140625" style="2"/>
  </cols>
  <sheetData>
    <row r="1" spans="2:10" ht="15.75" x14ac:dyDescent="0.25">
      <c r="B1" s="3" t="s">
        <v>56</v>
      </c>
    </row>
    <row r="3" spans="2:10" ht="12.75" thickBot="1" x14ac:dyDescent="0.25">
      <c r="B3" s="20" t="s">
        <v>114</v>
      </c>
      <c r="C3" s="20" t="s">
        <v>98</v>
      </c>
      <c r="D3" s="20" t="s">
        <v>31</v>
      </c>
      <c r="E3" s="20" t="s">
        <v>99</v>
      </c>
      <c r="F3" s="21" t="s">
        <v>220</v>
      </c>
      <c r="G3" s="21" t="s">
        <v>221</v>
      </c>
      <c r="H3" s="21" t="s">
        <v>222</v>
      </c>
      <c r="J3" s="22" t="s">
        <v>224</v>
      </c>
    </row>
    <row r="4" spans="2:10" x14ac:dyDescent="0.2">
      <c r="B4" s="2" t="s">
        <v>115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116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117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2" t="s">
        <v>67</v>
      </c>
    </row>
    <row r="7" spans="2:10" x14ac:dyDescent="0.2">
      <c r="B7" s="2" t="s">
        <v>118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2" t="s">
        <v>67</v>
      </c>
    </row>
    <row r="8" spans="2:10" x14ac:dyDescent="0.2">
      <c r="B8" s="2" t="s">
        <v>119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2" t="s">
        <v>67</v>
      </c>
    </row>
    <row r="9" spans="2:10" x14ac:dyDescent="0.2">
      <c r="B9" s="2" t="s">
        <v>120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2" t="s">
        <v>67</v>
      </c>
    </row>
    <row r="10" spans="2:10" x14ac:dyDescent="0.2">
      <c r="B10" s="2" t="s">
        <v>121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2" t="s">
        <v>103</v>
      </c>
    </row>
    <row r="11" spans="2:10" x14ac:dyDescent="0.2">
      <c r="B11" s="2" t="s">
        <v>122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123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124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125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126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127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2" t="s">
        <v>227</v>
      </c>
    </row>
    <row r="17" spans="2:10" x14ac:dyDescent="0.2">
      <c r="B17" s="2" t="s">
        <v>128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129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130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0</v>
      </c>
      <c r="H19" s="17">
        <f>-SUMIF('1.3 FY2018'!$B:$B,'2.1 Database'!B19,'1.3 FY2018'!$F:$F)</f>
        <v>0</v>
      </c>
      <c r="J19" s="2" t="s">
        <v>72</v>
      </c>
    </row>
    <row r="20" spans="2:10" x14ac:dyDescent="0.2">
      <c r="B20" s="2" t="s">
        <v>131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132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2" t="s">
        <v>228</v>
      </c>
    </row>
    <row r="22" spans="2:10" x14ac:dyDescent="0.2">
      <c r="B22" s="2" t="s">
        <v>133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2" t="s">
        <v>228</v>
      </c>
    </row>
    <row r="23" spans="2:10" x14ac:dyDescent="0.2">
      <c r="B23" s="2" t="s">
        <v>134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2" t="s">
        <v>228</v>
      </c>
    </row>
    <row r="24" spans="2:10" x14ac:dyDescent="0.2">
      <c r="B24" s="2" t="s">
        <v>135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2" t="s">
        <v>228</v>
      </c>
    </row>
    <row r="25" spans="2:10" x14ac:dyDescent="0.2">
      <c r="B25" s="2" t="s">
        <v>136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2" t="s">
        <v>228</v>
      </c>
    </row>
    <row r="26" spans="2:10" x14ac:dyDescent="0.2">
      <c r="B26" s="2" t="s">
        <v>137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2" t="s">
        <v>228</v>
      </c>
    </row>
    <row r="27" spans="2:10" x14ac:dyDescent="0.2">
      <c r="B27" s="2" t="s">
        <v>138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2" t="s">
        <v>228</v>
      </c>
    </row>
    <row r="28" spans="2:10" x14ac:dyDescent="0.2">
      <c r="B28" s="2" t="s">
        <v>139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140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141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142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2" t="s">
        <v>226</v>
      </c>
    </row>
    <row r="32" spans="2:10" x14ac:dyDescent="0.2">
      <c r="B32" s="2" t="s">
        <v>143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144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145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2" t="s">
        <v>230</v>
      </c>
    </row>
    <row r="35" spans="2:10" x14ac:dyDescent="0.2">
      <c r="B35" s="2" t="s">
        <v>146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2" t="s">
        <v>230</v>
      </c>
    </row>
    <row r="36" spans="2:10" x14ac:dyDescent="0.2">
      <c r="B36" s="2" t="s">
        <v>147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148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149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150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151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152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153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154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155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156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157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</row>
    <row r="47" spans="2:10" x14ac:dyDescent="0.2">
      <c r="B47" s="2" t="s">
        <v>158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</row>
    <row r="48" spans="2:10" x14ac:dyDescent="0.2">
      <c r="B48" s="2" t="s">
        <v>159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</row>
    <row r="49" spans="2:10" x14ac:dyDescent="0.2">
      <c r="B49" s="2" t="s">
        <v>160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2" t="s">
        <v>232</v>
      </c>
    </row>
    <row r="50" spans="2:10" x14ac:dyDescent="0.2">
      <c r="B50" s="2" t="s">
        <v>161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2" t="s">
        <v>232</v>
      </c>
    </row>
    <row r="51" spans="2:10" x14ac:dyDescent="0.2">
      <c r="B51" s="2" t="s">
        <v>162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2" t="s">
        <v>232</v>
      </c>
    </row>
    <row r="52" spans="2:10" x14ac:dyDescent="0.2">
      <c r="B52" s="2" t="s">
        <v>163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2" t="s">
        <v>232</v>
      </c>
    </row>
    <row r="53" spans="2:10" x14ac:dyDescent="0.2">
      <c r="B53" s="2" t="s">
        <v>164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165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2" t="s">
        <v>67</v>
      </c>
    </row>
    <row r="55" spans="2:10" x14ac:dyDescent="0.2">
      <c r="B55" s="2" t="s">
        <v>166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167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168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169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170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171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2" t="s">
        <v>235</v>
      </c>
    </row>
    <row r="61" spans="2:10" x14ac:dyDescent="0.2">
      <c r="B61" s="2" t="s">
        <v>172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173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2" t="s">
        <v>67</v>
      </c>
    </row>
    <row r="63" spans="2:10" x14ac:dyDescent="0.2">
      <c r="B63" s="2" t="s">
        <v>174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175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2" t="s">
        <v>226</v>
      </c>
    </row>
    <row r="65" spans="2:10" x14ac:dyDescent="0.2">
      <c r="B65" s="2" t="s">
        <v>176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2" t="s">
        <v>226</v>
      </c>
    </row>
    <row r="66" spans="2:10" x14ac:dyDescent="0.2">
      <c r="B66" s="2" t="s">
        <v>177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178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2" t="s">
        <v>226</v>
      </c>
    </row>
    <row r="68" spans="2:10" x14ac:dyDescent="0.2">
      <c r="B68" s="2" t="s">
        <v>179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2" t="s">
        <v>227</v>
      </c>
    </row>
    <row r="69" spans="2:10" x14ac:dyDescent="0.2">
      <c r="B69" s="2" t="s">
        <v>180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7">
        <f>-SUMIF('1.1 FY2016'!$B:$B,'2.1 Database'!B69,'1.1 FY2016'!$F:$F)</f>
        <v>0</v>
      </c>
      <c r="G69" s="17">
        <f>-SUMIF('1.2 FY2017'!$B:$B,'2.1 Database'!B69,'1.2 FY2017'!$F:$F)</f>
        <v>-146328.94499999998</v>
      </c>
      <c r="H69" s="17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181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7">
        <f>-SUMIF('1.1 FY2016'!$B:$B,'2.1 Database'!B70,'1.1 FY2016'!$F:$F)</f>
        <v>0</v>
      </c>
      <c r="G70" s="17">
        <f>-SUMIF('1.2 FY2017'!$B:$B,'2.1 Database'!B70,'1.2 FY2017'!$F:$F)</f>
        <v>121553.07499999998</v>
      </c>
      <c r="H70" s="17">
        <f>-SUMIF('1.3 FY2018'!$B:$B,'2.1 Database'!B70,'1.3 FY2018'!$F:$F)</f>
        <v>0</v>
      </c>
      <c r="J70" s="2" t="s">
        <v>233</v>
      </c>
    </row>
    <row r="71" spans="2:10" x14ac:dyDescent="0.2">
      <c r="B71" s="2" t="s">
        <v>182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7">
        <f>-SUMIF('1.1 FY2016'!$B:$B,'2.1 Database'!B71,'1.1 FY2016'!$F:$F)</f>
        <v>0</v>
      </c>
      <c r="G71" s="17">
        <f>-SUMIF('1.2 FY2017'!$B:$B,'2.1 Database'!B71,'1.2 FY2017'!$F:$F)</f>
        <v>416278.66</v>
      </c>
      <c r="H71" s="17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183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7">
        <f>-SUMIF('1.1 FY2016'!$B:$B,'2.1 Database'!B72,'1.1 FY2016'!$F:$F)</f>
        <v>0</v>
      </c>
      <c r="G72" s="17">
        <f>-SUMIF('1.2 FY2017'!$B:$B,'2.1 Database'!B72,'1.2 FY2017'!$F:$F)</f>
        <v>364243.84499999997</v>
      </c>
      <c r="H72" s="17">
        <f>-SUMIF('1.3 FY2018'!$B:$B,'2.1 Database'!B72,'1.3 FY2018'!$F:$F)</f>
        <v>0</v>
      </c>
      <c r="J72" s="2" t="s">
        <v>228</v>
      </c>
    </row>
    <row r="73" spans="2:10" x14ac:dyDescent="0.2">
      <c r="B73" s="2" t="s">
        <v>184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7">
        <f>-SUMIF('1.1 FY2016'!$B:$B,'2.1 Database'!B73,'1.1 FY2016'!$F:$F)</f>
        <v>0</v>
      </c>
      <c r="G73" s="17">
        <f>-SUMIF('1.2 FY2017'!$B:$B,'2.1 Database'!B73,'1.2 FY2017'!$F:$F)</f>
        <v>0</v>
      </c>
      <c r="H73" s="17">
        <f>-SUMIF('1.3 FY2018'!$B:$B,'2.1 Database'!B73,'1.3 FY2018'!$F:$F)</f>
        <v>0</v>
      </c>
      <c r="J73" s="2" t="s">
        <v>228</v>
      </c>
    </row>
    <row r="74" spans="2:10" x14ac:dyDescent="0.2">
      <c r="B74" s="2" t="s">
        <v>185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7">
        <f>-SUMIF('1.1 FY2016'!$B:$B,'2.1 Database'!B74,'1.1 FY2016'!$F:$F)</f>
        <v>0</v>
      </c>
      <c r="G74" s="17">
        <f>-SUMIF('1.2 FY2017'!$B:$B,'2.1 Database'!B74,'1.2 FY2017'!$F:$F)</f>
        <v>482611.04499999998</v>
      </c>
      <c r="H74" s="17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186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7">
        <f>-SUMIF('1.1 FY2016'!$B:$B,'2.1 Database'!B75,'1.1 FY2016'!$F:$F)</f>
        <v>0</v>
      </c>
      <c r="G75" s="17">
        <f>-SUMIF('1.2 FY2017'!$B:$B,'2.1 Database'!B75,'1.2 FY2017'!$F:$F)</f>
        <v>2436.35</v>
      </c>
      <c r="H75" s="17">
        <f>-SUMIF('1.3 FY2018'!$B:$B,'2.1 Database'!B75,'1.3 FY2018'!$F:$F)</f>
        <v>0</v>
      </c>
      <c r="J75" s="2" t="s">
        <v>74</v>
      </c>
    </row>
    <row r="76" spans="2:10" x14ac:dyDescent="0.2">
      <c r="B76" s="2" t="s">
        <v>187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7">
        <f>-SUMIF('1.1 FY2016'!$B:$B,'2.1 Database'!B76,'1.1 FY2016'!$F:$F)</f>
        <v>0</v>
      </c>
      <c r="G76" s="17">
        <f>-SUMIF('1.2 FY2017'!$B:$B,'2.1 Database'!B76,'1.2 FY2017'!$F:$F)</f>
        <v>-81.339999999999989</v>
      </c>
      <c r="H76" s="17">
        <f>-SUMIF('1.3 FY2018'!$B:$B,'2.1 Database'!B76,'1.3 FY2018'!$F:$F)</f>
        <v>0</v>
      </c>
      <c r="J76" s="2" t="s">
        <v>226</v>
      </c>
    </row>
    <row r="77" spans="2:10" x14ac:dyDescent="0.2">
      <c r="B77" s="2" t="s">
        <v>188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7">
        <f>-SUMIF('1.1 FY2016'!$B:$B,'2.1 Database'!B77,'1.1 FY2016'!$F:$F)</f>
        <v>0</v>
      </c>
      <c r="G77" s="17">
        <f>-SUMIF('1.2 FY2017'!$B:$B,'2.1 Database'!B77,'1.2 FY2017'!$F:$F)</f>
        <v>-276920</v>
      </c>
      <c r="H77" s="17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189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7">
        <f>-SUMIF('1.1 FY2016'!$B:$B,'2.1 Database'!B78,'1.1 FY2016'!$F:$F)</f>
        <v>0</v>
      </c>
      <c r="G78" s="17">
        <f>-SUMIF('1.2 FY2017'!$B:$B,'2.1 Database'!B78,'1.2 FY2017'!$F:$F)</f>
        <v>0</v>
      </c>
      <c r="H78" s="17">
        <f>-SUMIF('1.3 FY2018'!$B:$B,'2.1 Database'!B78,'1.3 FY2018'!$F:$F)</f>
        <v>0</v>
      </c>
    </row>
    <row r="79" spans="2:10" x14ac:dyDescent="0.2">
      <c r="B79" s="2" t="s">
        <v>190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7">
        <f>-SUMIF('1.1 FY2016'!$B:$B,'2.1 Database'!B79,'1.1 FY2016'!$F:$F)</f>
        <v>0</v>
      </c>
      <c r="G79" s="17">
        <f>-SUMIF('1.2 FY2017'!$B:$B,'2.1 Database'!B79,'1.2 FY2017'!$F:$F)</f>
        <v>-23928.799999999999</v>
      </c>
      <c r="H79" s="17">
        <f>-SUMIF('1.3 FY2018'!$B:$B,'2.1 Database'!B79,'1.3 FY2018'!$F:$F)</f>
        <v>0</v>
      </c>
      <c r="J79" s="2" t="s">
        <v>226</v>
      </c>
    </row>
    <row r="80" spans="2:10" x14ac:dyDescent="0.2">
      <c r="B80" s="2" t="s">
        <v>191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7">
        <f>-SUMIF('1.1 FY2016'!$B:$B,'2.1 Database'!B80,'1.1 FY2016'!$F:$F)</f>
        <v>0</v>
      </c>
      <c r="G80" s="17">
        <f>-SUMIF('1.2 FY2017'!$B:$B,'2.1 Database'!B80,'1.2 FY2017'!$F:$F)</f>
        <v>-308232</v>
      </c>
      <c r="H80" s="17">
        <f>-SUMIF('1.3 FY2018'!$B:$B,'2.1 Database'!B80,'1.3 FY2018'!$F:$F)</f>
        <v>0</v>
      </c>
      <c r="J80" s="2" t="s">
        <v>233</v>
      </c>
    </row>
    <row r="81" spans="2:10" x14ac:dyDescent="0.2">
      <c r="B81" s="2" t="s">
        <v>192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7">
        <f>-SUMIF('1.1 FY2016'!$B:$B,'2.1 Database'!B81,'1.1 FY2016'!$F:$F)</f>
        <v>0</v>
      </c>
      <c r="G81" s="17">
        <f>-SUMIF('1.2 FY2017'!$B:$B,'2.1 Database'!B81,'1.2 FY2017'!$F:$F)</f>
        <v>-13422.779999999999</v>
      </c>
      <c r="H81" s="17">
        <f>-SUMIF('1.3 FY2018'!$B:$B,'2.1 Database'!B81,'1.3 FY2018'!$F:$F)</f>
        <v>0</v>
      </c>
      <c r="J81" s="2" t="s">
        <v>226</v>
      </c>
    </row>
    <row r="82" spans="2:10" x14ac:dyDescent="0.2">
      <c r="B82" s="2" t="s">
        <v>193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-4045.6150000000002</v>
      </c>
      <c r="H82" s="17">
        <f>-SUMIF('1.3 FY2018'!$B:$B,'2.1 Database'!B82,'1.3 FY2018'!$F:$F)</f>
        <v>0</v>
      </c>
      <c r="J82" s="2" t="s">
        <v>226</v>
      </c>
    </row>
    <row r="83" spans="2:10" x14ac:dyDescent="0.2">
      <c r="B83" s="2" t="s">
        <v>194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7">
        <f>-SUMIF('1.1 FY2016'!$B:$B,'2.1 Database'!B83,'1.1 FY2016'!$F:$F)</f>
        <v>0</v>
      </c>
      <c r="G83" s="17">
        <f>-SUMIF('1.2 FY2017'!$B:$B,'2.1 Database'!B83,'1.2 FY2017'!$F:$F)</f>
        <v>-49621.144999999997</v>
      </c>
      <c r="H83" s="17">
        <f>-SUMIF('1.3 FY2018'!$B:$B,'2.1 Database'!B83,'1.3 FY2018'!$F:$F)</f>
        <v>0</v>
      </c>
      <c r="J83" s="2" t="s">
        <v>226</v>
      </c>
    </row>
    <row r="84" spans="2:10" x14ac:dyDescent="0.2">
      <c r="B84" s="2" t="s">
        <v>195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7">
        <f>-SUMIF('1.1 FY2016'!$B:$B,'2.1 Database'!B84,'1.1 FY2016'!$F:$F)</f>
        <v>0</v>
      </c>
      <c r="G84" s="17">
        <f>-SUMIF('1.2 FY2017'!$B:$B,'2.1 Database'!B84,'1.2 FY2017'!$F:$F)</f>
        <v>-85462.684999999998</v>
      </c>
      <c r="H84" s="17">
        <f>-SUMIF('1.3 FY2018'!$B:$B,'2.1 Database'!B84,'1.3 FY2018'!$F:$F)</f>
        <v>0</v>
      </c>
      <c r="J84" s="2" t="s">
        <v>233</v>
      </c>
    </row>
    <row r="85" spans="2:10" x14ac:dyDescent="0.2">
      <c r="B85" s="2" t="s">
        <v>196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7">
        <f>-SUMIF('1.1 FY2016'!$B:$B,'2.1 Database'!B85,'1.1 FY2016'!$F:$F)</f>
        <v>0</v>
      </c>
      <c r="G85" s="17">
        <f>-SUMIF('1.2 FY2017'!$B:$B,'2.1 Database'!B85,'1.2 FY2017'!$F:$F)</f>
        <v>-11422.144999999999</v>
      </c>
      <c r="H85" s="17">
        <f>-SUMIF('1.3 FY2018'!$B:$B,'2.1 Database'!B85,'1.3 FY2018'!$F:$F)</f>
        <v>0</v>
      </c>
      <c r="J85" s="2" t="s">
        <v>233</v>
      </c>
    </row>
    <row r="86" spans="2:10" x14ac:dyDescent="0.2">
      <c r="B86" s="2" t="s">
        <v>197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7">
        <f>-SUMIF('1.1 FY2016'!$B:$B,'2.1 Database'!B86,'1.1 FY2016'!$F:$F)</f>
        <v>0</v>
      </c>
      <c r="G86" s="17">
        <f>-SUMIF('1.2 FY2017'!$B:$B,'2.1 Database'!B86,'1.2 FY2017'!$F:$F)</f>
        <v>-84438.864999999991</v>
      </c>
      <c r="H86" s="17">
        <f>-SUMIF('1.3 FY2018'!$B:$B,'2.1 Database'!B86,'1.3 FY2018'!$F:$F)</f>
        <v>0</v>
      </c>
      <c r="J86" s="2" t="s">
        <v>233</v>
      </c>
    </row>
    <row r="87" spans="2:10" x14ac:dyDescent="0.2">
      <c r="B87" s="2" t="s">
        <v>198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</row>
    <row r="88" spans="2:10" x14ac:dyDescent="0.2">
      <c r="B88" s="2" t="s">
        <v>199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7">
        <f>-SUMIF('1.1 FY2016'!$B:$B,'2.1 Database'!B88,'1.1 FY2016'!$F:$F)</f>
        <v>0</v>
      </c>
      <c r="G88" s="17">
        <f>-SUMIF('1.2 FY2017'!$B:$B,'2.1 Database'!B88,'1.2 FY2017'!$F:$F)</f>
        <v>0</v>
      </c>
      <c r="H88" s="17">
        <f>-SUMIF('1.3 FY2018'!$B:$B,'2.1 Database'!B88,'1.3 FY2018'!$F:$F)</f>
        <v>0</v>
      </c>
      <c r="J88" s="2" t="s">
        <v>232</v>
      </c>
    </row>
    <row r="89" spans="2:10" x14ac:dyDescent="0.2">
      <c r="B89" s="2" t="s">
        <v>200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7">
        <f>-SUMIF('1.1 FY2016'!$B:$B,'2.1 Database'!B89,'1.1 FY2016'!$F:$F)</f>
        <v>0</v>
      </c>
      <c r="G89" s="17">
        <f>-SUMIF('1.2 FY2017'!$B:$B,'2.1 Database'!B89,'1.2 FY2017'!$F:$F)</f>
        <v>6778.415</v>
      </c>
      <c r="H89" s="17">
        <f>-SUMIF('1.3 FY2018'!$B:$B,'2.1 Database'!B89,'1.3 FY2018'!$F:$F)</f>
        <v>0</v>
      </c>
      <c r="J89" s="2" t="s">
        <v>232</v>
      </c>
    </row>
    <row r="90" spans="2:10" x14ac:dyDescent="0.2">
      <c r="B90" s="2" t="s">
        <v>201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7">
        <f>-SUMIF('1.1 FY2016'!$B:$B,'2.1 Database'!B90,'1.1 FY2016'!$F:$F)</f>
        <v>0</v>
      </c>
      <c r="G90" s="17">
        <f>-SUMIF('1.2 FY2017'!$B:$B,'2.1 Database'!B90,'1.2 FY2017'!$F:$F)</f>
        <v>0</v>
      </c>
      <c r="H90" s="17">
        <f>-SUMIF('1.3 FY2018'!$B:$B,'2.1 Database'!B90,'1.3 FY2018'!$F:$F)</f>
        <v>0</v>
      </c>
      <c r="J90" s="2" t="s">
        <v>232</v>
      </c>
    </row>
    <row r="91" spans="2:10" x14ac:dyDescent="0.2">
      <c r="B91" s="2" t="s">
        <v>202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7">
        <f>-SUMIF('1.1 FY2016'!$B:$B,'2.1 Database'!B91,'1.1 FY2016'!$F:$F)</f>
        <v>0</v>
      </c>
      <c r="G91" s="17">
        <f>-SUMIF('1.2 FY2017'!$B:$B,'2.1 Database'!B91,'1.2 FY2017'!$F:$F)</f>
        <v>-1250.7950000000001</v>
      </c>
      <c r="H91" s="17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203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7">
        <f>-SUMIF('1.1 FY2016'!$B:$B,'2.1 Database'!B92,'1.1 FY2016'!$F:$F)</f>
        <v>0</v>
      </c>
      <c r="G92" s="17">
        <f>-SUMIF('1.2 FY2017'!$B:$B,'2.1 Database'!B92,'1.2 FY2017'!$F:$F)</f>
        <v>-4130000</v>
      </c>
      <c r="H92" s="17">
        <f>-SUMIF('1.3 FY2018'!$B:$B,'2.1 Database'!B92,'1.3 FY2018'!$F:$F)</f>
        <v>0</v>
      </c>
      <c r="J92" s="2" t="s">
        <v>233</v>
      </c>
    </row>
    <row r="93" spans="2:10" x14ac:dyDescent="0.2">
      <c r="B93" s="2" t="s">
        <v>204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7">
        <f>-SUMIF('1.1 FY2016'!$B:$B,'2.1 Database'!B93,'1.1 FY2016'!$F:$F)</f>
        <v>0</v>
      </c>
      <c r="G93" s="17">
        <f>-SUMIF('1.2 FY2017'!$B:$B,'2.1 Database'!B93,'1.2 FY2017'!$F:$F)</f>
        <v>0</v>
      </c>
      <c r="H93" s="17">
        <f>-SUMIF('1.3 FY2018'!$B:$B,'2.1 Database'!B93,'1.3 FY2018'!$F:$F)</f>
        <v>0</v>
      </c>
    </row>
    <row r="94" spans="2:10" x14ac:dyDescent="0.2">
      <c r="B94" s="2" t="s">
        <v>205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7">
        <f>SUMIF('1.1 FY2016'!$B:$B,'2.1 Database'!B94,'1.1 FY2016'!$F:$F)</f>
        <v>0</v>
      </c>
      <c r="G94" s="17">
        <f>SUMIF('1.2 FY2017'!$B:$B,'2.1 Database'!B94,'1.2 FY2017'!$F:$F)</f>
        <v>6073808.1600000001</v>
      </c>
      <c r="H94" s="17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206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207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208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209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210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0</v>
      </c>
      <c r="J99" s="2" t="s">
        <v>226</v>
      </c>
    </row>
    <row r="100" spans="2:10" x14ac:dyDescent="0.2">
      <c r="B100" s="2" t="s">
        <v>211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212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213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214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215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216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217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218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</row>
    <row r="108" spans="2:10" x14ac:dyDescent="0.2">
      <c r="B108" s="2" t="s">
        <v>219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7">
        <f>-SUMIF('1.1 FY2016'!$B:$B,'2.1 Database'!B108,'1.1 FY2016'!$F:$F)</f>
        <v>0</v>
      </c>
      <c r="G108" s="17">
        <f>-SUMIF('1.2 FY2017'!$B:$B,'2.1 Database'!B108,'1.2 FY2017'!$F:$F)</f>
        <v>0</v>
      </c>
      <c r="H108" s="17">
        <f>-SUMIF('1.3 FY2018'!$B:$B,'2.1 Database'!B108,'1.3 FY2018'!$F:$F)</f>
        <v>0</v>
      </c>
    </row>
    <row r="109" spans="2:10" ht="15" x14ac:dyDescent="0.25">
      <c r="B109" s="1"/>
      <c r="C109" s="2" t="s">
        <v>223</v>
      </c>
      <c r="D109" s="2" t="s">
        <v>223</v>
      </c>
      <c r="E109" s="2" t="s">
        <v>223</v>
      </c>
      <c r="F109" s="2" t="s">
        <v>223</v>
      </c>
      <c r="G109" s="2" t="s">
        <v>223</v>
      </c>
      <c r="H109" s="2" t="s">
        <v>223</v>
      </c>
    </row>
    <row r="110" spans="2:10" ht="15" x14ac:dyDescent="0.25">
      <c r="B110" s="1"/>
    </row>
    <row r="111" spans="2:10" ht="15" x14ac:dyDescent="0.25">
      <c r="B111" s="1"/>
    </row>
    <row r="112" spans="2:10" ht="15" x14ac:dyDescent="0.25">
      <c r="B112" s="1"/>
    </row>
    <row r="113" spans="2:2" ht="15" x14ac:dyDescent="0.25">
      <c r="B113" s="1"/>
    </row>
    <row r="114" spans="2:2" ht="15" x14ac:dyDescent="0.25">
      <c r="B114" s="1"/>
    </row>
    <row r="115" spans="2:2" ht="15" x14ac:dyDescent="0.25">
      <c r="B115" s="1"/>
    </row>
    <row r="116" spans="2:2" ht="15" x14ac:dyDescent="0.25">
      <c r="B116" s="1"/>
    </row>
    <row r="117" spans="2:2" ht="15" x14ac:dyDescent="0.25">
      <c r="B117" s="1"/>
    </row>
    <row r="118" spans="2:2" ht="15" x14ac:dyDescent="0.25">
      <c r="B118" s="1"/>
    </row>
    <row r="119" spans="2:2" ht="15" x14ac:dyDescent="0.25">
      <c r="B119" s="1"/>
    </row>
    <row r="120" spans="2:2" ht="15" x14ac:dyDescent="0.25">
      <c r="B120" s="1"/>
    </row>
    <row r="121" spans="2:2" ht="15" x14ac:dyDescent="0.25">
      <c r="B121" s="1"/>
    </row>
    <row r="122" spans="2:2" ht="15" x14ac:dyDescent="0.25">
      <c r="B122" s="1"/>
    </row>
    <row r="123" spans="2:2" ht="15" x14ac:dyDescent="0.25">
      <c r="B123" s="1"/>
    </row>
    <row r="124" spans="2:2" ht="15" x14ac:dyDescent="0.25">
      <c r="B124" s="1"/>
    </row>
    <row r="125" spans="2:2" ht="15" x14ac:dyDescent="0.25">
      <c r="B125" s="1"/>
    </row>
    <row r="126" spans="2:2" ht="15" x14ac:dyDescent="0.25">
      <c r="B126" s="1"/>
    </row>
    <row r="127" spans="2:2" ht="15" x14ac:dyDescent="0.25">
      <c r="B127" s="1"/>
    </row>
    <row r="128" spans="2:2" ht="15" x14ac:dyDescent="0.25">
      <c r="B128" s="1"/>
    </row>
    <row r="129" spans="2:2" ht="15" x14ac:dyDescent="0.25">
      <c r="B129" s="1"/>
    </row>
    <row r="130" spans="2:2" ht="15" x14ac:dyDescent="0.25">
      <c r="B130" s="1"/>
    </row>
    <row r="131" spans="2:2" ht="15" x14ac:dyDescent="0.25">
      <c r="B131" s="1"/>
    </row>
    <row r="132" spans="2:2" ht="15" x14ac:dyDescent="0.25">
      <c r="B132" s="1"/>
    </row>
    <row r="133" spans="2:2" ht="15" x14ac:dyDescent="0.25">
      <c r="B133" s="1"/>
    </row>
    <row r="134" spans="2:2" ht="15" x14ac:dyDescent="0.25">
      <c r="B134" s="1"/>
    </row>
    <row r="135" spans="2:2" ht="15" x14ac:dyDescent="0.25">
      <c r="B135" s="1"/>
    </row>
    <row r="136" spans="2:2" ht="15" x14ac:dyDescent="0.25">
      <c r="B136" s="1"/>
    </row>
    <row r="137" spans="2:2" ht="15" x14ac:dyDescent="0.25">
      <c r="B137" s="1"/>
    </row>
    <row r="138" spans="2:2" ht="15" x14ac:dyDescent="0.25">
      <c r="B138" s="1"/>
    </row>
    <row r="139" spans="2:2" ht="15" x14ac:dyDescent="0.25">
      <c r="B139" s="1"/>
    </row>
    <row r="140" spans="2:2" ht="15" x14ac:dyDescent="0.25">
      <c r="B140" s="1"/>
    </row>
    <row r="141" spans="2:2" ht="15" x14ac:dyDescent="0.25">
      <c r="B141" s="1"/>
    </row>
    <row r="142" spans="2:2" ht="15" x14ac:dyDescent="0.25">
      <c r="B142" s="1"/>
    </row>
    <row r="143" spans="2:2" ht="15" x14ac:dyDescent="0.25">
      <c r="B143" s="1"/>
    </row>
    <row r="144" spans="2:2" ht="15" x14ac:dyDescent="0.25">
      <c r="B144" s="1"/>
    </row>
    <row r="145" spans="2:2" ht="15" x14ac:dyDescent="0.25">
      <c r="B145" s="1"/>
    </row>
    <row r="146" spans="2:2" ht="15" x14ac:dyDescent="0.25">
      <c r="B146" s="1"/>
    </row>
    <row r="147" spans="2:2" ht="15" x14ac:dyDescent="0.25">
      <c r="B147" s="1"/>
    </row>
    <row r="148" spans="2:2" ht="15" x14ac:dyDescent="0.25">
      <c r="B148" s="1"/>
    </row>
    <row r="149" spans="2:2" ht="15" x14ac:dyDescent="0.25">
      <c r="B149" s="1"/>
    </row>
    <row r="150" spans="2:2" ht="15" x14ac:dyDescent="0.25">
      <c r="B150" s="1"/>
    </row>
    <row r="151" spans="2:2" ht="15" x14ac:dyDescent="0.25">
      <c r="B151" s="1"/>
    </row>
    <row r="152" spans="2:2" ht="15" x14ac:dyDescent="0.25">
      <c r="B152" s="1"/>
    </row>
    <row r="153" spans="2:2" ht="15" x14ac:dyDescent="0.25">
      <c r="B153" s="1"/>
    </row>
    <row r="154" spans="2:2" ht="15" x14ac:dyDescent="0.25">
      <c r="B154" s="1"/>
    </row>
    <row r="155" spans="2:2" ht="15" x14ac:dyDescent="0.25">
      <c r="B155" s="1"/>
    </row>
    <row r="156" spans="2:2" ht="15" x14ac:dyDescent="0.25">
      <c r="B156" s="1"/>
    </row>
    <row r="157" spans="2:2" ht="15" x14ac:dyDescent="0.25">
      <c r="B157" s="1"/>
    </row>
    <row r="158" spans="2:2" ht="15" x14ac:dyDescent="0.25">
      <c r="B158" s="1"/>
    </row>
    <row r="159" spans="2:2" ht="15" x14ac:dyDescent="0.25">
      <c r="B159" s="1"/>
    </row>
    <row r="160" spans="2:2" ht="15" x14ac:dyDescent="0.25">
      <c r="B160" s="1"/>
    </row>
    <row r="161" spans="2:2" ht="15" x14ac:dyDescent="0.25">
      <c r="B161" s="1"/>
    </row>
    <row r="162" spans="2:2" ht="15" x14ac:dyDescent="0.25">
      <c r="B162" s="1"/>
    </row>
    <row r="163" spans="2:2" ht="15" x14ac:dyDescent="0.25">
      <c r="B163" s="1"/>
    </row>
    <row r="164" spans="2:2" ht="15" x14ac:dyDescent="0.25">
      <c r="B164" s="1"/>
    </row>
    <row r="165" spans="2:2" ht="15" x14ac:dyDescent="0.25">
      <c r="B165" s="1"/>
    </row>
    <row r="166" spans="2:2" ht="15" x14ac:dyDescent="0.25">
      <c r="B166" s="1"/>
    </row>
    <row r="167" spans="2:2" ht="15" x14ac:dyDescent="0.25">
      <c r="B167" s="1"/>
    </row>
    <row r="168" spans="2:2" ht="15" x14ac:dyDescent="0.25">
      <c r="B168" s="1"/>
    </row>
    <row r="169" spans="2:2" ht="15" x14ac:dyDescent="0.25">
      <c r="B169" s="1"/>
    </row>
    <row r="170" spans="2:2" ht="15" x14ac:dyDescent="0.25">
      <c r="B170" s="1"/>
    </row>
    <row r="171" spans="2:2" ht="15" x14ac:dyDescent="0.25">
      <c r="B171" s="1"/>
    </row>
    <row r="172" spans="2:2" ht="15" x14ac:dyDescent="0.25">
      <c r="B172" s="1"/>
    </row>
    <row r="173" spans="2:2" ht="15" x14ac:dyDescent="0.25">
      <c r="B173" s="1"/>
    </row>
    <row r="174" spans="2:2" ht="15" x14ac:dyDescent="0.25">
      <c r="B174" s="1"/>
    </row>
    <row r="175" spans="2:2" ht="15" x14ac:dyDescent="0.25">
      <c r="B175" s="1"/>
    </row>
    <row r="176" spans="2:2" ht="15" x14ac:dyDescent="0.25">
      <c r="B176" s="1"/>
    </row>
    <row r="177" spans="2:2" ht="15" x14ac:dyDescent="0.25">
      <c r="B177" s="1"/>
    </row>
    <row r="178" spans="2:2" ht="15" x14ac:dyDescent="0.25">
      <c r="B178" s="1"/>
    </row>
    <row r="179" spans="2:2" ht="15" x14ac:dyDescent="0.25">
      <c r="B179" s="1"/>
    </row>
    <row r="180" spans="2:2" ht="15" x14ac:dyDescent="0.25">
      <c r="B180" s="1"/>
    </row>
    <row r="181" spans="2:2" ht="15" x14ac:dyDescent="0.25">
      <c r="B181" s="1"/>
    </row>
    <row r="182" spans="2:2" ht="15" x14ac:dyDescent="0.25">
      <c r="B182" s="1"/>
    </row>
    <row r="183" spans="2:2" ht="15" x14ac:dyDescent="0.25">
      <c r="B183" s="1"/>
    </row>
    <row r="184" spans="2:2" ht="15" x14ac:dyDescent="0.25">
      <c r="B184" s="1"/>
    </row>
    <row r="185" spans="2:2" ht="15" x14ac:dyDescent="0.25">
      <c r="B185" s="1"/>
    </row>
    <row r="186" spans="2:2" ht="15" x14ac:dyDescent="0.25">
      <c r="B186" s="1"/>
    </row>
    <row r="187" spans="2:2" ht="15" x14ac:dyDescent="0.25">
      <c r="B187" s="1"/>
    </row>
    <row r="188" spans="2:2" ht="15" x14ac:dyDescent="0.25">
      <c r="B188" s="1"/>
    </row>
    <row r="189" spans="2:2" ht="15" x14ac:dyDescent="0.25">
      <c r="B189" s="1"/>
    </row>
    <row r="190" spans="2:2" ht="15" x14ac:dyDescent="0.25">
      <c r="B190" s="1"/>
    </row>
    <row r="191" spans="2:2" ht="15" x14ac:dyDescent="0.25">
      <c r="B191" s="1"/>
    </row>
    <row r="192" spans="2:2" ht="15" x14ac:dyDescent="0.25">
      <c r="B192" s="1"/>
    </row>
    <row r="193" spans="2:2" ht="15" x14ac:dyDescent="0.25">
      <c r="B193" s="1"/>
    </row>
    <row r="194" spans="2:2" ht="15" x14ac:dyDescent="0.25">
      <c r="B194" s="1"/>
    </row>
    <row r="195" spans="2:2" ht="15" x14ac:dyDescent="0.25">
      <c r="B195" s="1"/>
    </row>
    <row r="196" spans="2:2" ht="15" x14ac:dyDescent="0.25">
      <c r="B196" s="1"/>
    </row>
    <row r="197" spans="2:2" ht="15" x14ac:dyDescent="0.25">
      <c r="B197" s="1"/>
    </row>
    <row r="198" spans="2:2" ht="15" x14ac:dyDescent="0.25">
      <c r="B198" s="1"/>
    </row>
    <row r="199" spans="2:2" ht="15" x14ac:dyDescent="0.25">
      <c r="B199" s="1"/>
    </row>
    <row r="200" spans="2:2" ht="15" x14ac:dyDescent="0.25">
      <c r="B200" s="1"/>
    </row>
    <row r="201" spans="2:2" ht="15" x14ac:dyDescent="0.25">
      <c r="B201" s="1"/>
    </row>
    <row r="202" spans="2:2" ht="15" x14ac:dyDescent="0.25">
      <c r="B202" s="1"/>
    </row>
    <row r="203" spans="2:2" ht="15" x14ac:dyDescent="0.25">
      <c r="B203" s="1"/>
    </row>
    <row r="204" spans="2:2" ht="15" x14ac:dyDescent="0.25">
      <c r="B204" s="1"/>
    </row>
    <row r="205" spans="2:2" ht="15" x14ac:dyDescent="0.25">
      <c r="B205" s="1"/>
    </row>
    <row r="206" spans="2:2" ht="15" x14ac:dyDescent="0.25">
      <c r="B206" s="1"/>
    </row>
    <row r="207" spans="2:2" ht="15" x14ac:dyDescent="0.25">
      <c r="B207" s="1"/>
    </row>
    <row r="208" spans="2:2" ht="15" x14ac:dyDescent="0.25">
      <c r="B208" s="1"/>
    </row>
    <row r="209" spans="2:2" ht="15" x14ac:dyDescent="0.25">
      <c r="B209" s="1"/>
    </row>
    <row r="210" spans="2:2" ht="15" x14ac:dyDescent="0.25">
      <c r="B210" s="1"/>
    </row>
    <row r="211" spans="2:2" ht="15" x14ac:dyDescent="0.25">
      <c r="B211" s="1"/>
    </row>
    <row r="212" spans="2:2" ht="15" x14ac:dyDescent="0.25">
      <c r="B212" s="1"/>
    </row>
    <row r="213" spans="2:2" ht="15" x14ac:dyDescent="0.25">
      <c r="B213" s="1"/>
    </row>
    <row r="214" spans="2:2" ht="15" x14ac:dyDescent="0.25">
      <c r="B214" s="1"/>
    </row>
    <row r="215" spans="2:2" ht="15" x14ac:dyDescent="0.25">
      <c r="B21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104"/>
  <sheetViews>
    <sheetView workbookViewId="0"/>
  </sheetViews>
  <sheetFormatPr defaultRowHeight="12" x14ac:dyDescent="0.2"/>
  <cols>
    <col min="1" max="1" width="2" style="25" customWidth="1"/>
    <col min="2" max="2" width="17.85546875" style="25" bestFit="1" customWidth="1"/>
    <col min="3" max="3" width="9.42578125" style="25" bestFit="1" customWidth="1"/>
    <col min="4" max="5" width="9.140625" style="25"/>
    <col min="6" max="6" width="2" style="25" customWidth="1"/>
    <col min="7" max="16384" width="9.140625" style="25"/>
  </cols>
  <sheetData>
    <row r="1" spans="2:8" ht="15.75" x14ac:dyDescent="0.25">
      <c r="B1" s="24" t="s">
        <v>246</v>
      </c>
    </row>
    <row r="3" spans="2:8" ht="36.75" thickBot="1" x14ac:dyDescent="0.25">
      <c r="B3" s="26" t="s">
        <v>249</v>
      </c>
      <c r="C3" s="26" t="s">
        <v>220</v>
      </c>
      <c r="D3" s="26" t="s">
        <v>221</v>
      </c>
      <c r="E3" s="26" t="s">
        <v>222</v>
      </c>
      <c r="G3" s="35" t="s">
        <v>250</v>
      </c>
      <c r="H3" s="35" t="s">
        <v>251</v>
      </c>
    </row>
    <row r="4" spans="2:8" x14ac:dyDescent="0.2">
      <c r="B4" s="2" t="s">
        <v>225</v>
      </c>
      <c r="C4" s="30">
        <f>SUMIF('2.1 Database'!$J:$J,'2.2 P&amp;L statement'!$B4,'2.1 Database'!F:F)/1000000</f>
        <v>14.500341000000001</v>
      </c>
      <c r="D4" s="30">
        <f>SUMIF('2.1 Database'!$J:$J,'2.2 P&amp;L statement'!$B4,'2.1 Database'!G:G)/1000000</f>
        <v>16.148295364999999</v>
      </c>
      <c r="E4" s="30">
        <f>SUMIF('2.1 Database'!$J:$J,'2.2 P&amp;L statement'!$B4,'2.1 Database'!H:H)/1000000</f>
        <v>15.047803019</v>
      </c>
      <c r="G4" s="36">
        <f>+IF(ISERROR((D4/C4)-1),"n.a.",IF(((D4/C4)-1)&gt;1,"&gt;100.0%",IF(((D4/C4)-1)&lt;-1,"&lt;-100.0%",((D4/C4)-1))))</f>
        <v>0.11364935245315944</v>
      </c>
      <c r="H4" s="36">
        <f>+IF(ISERROR((E4/D4)-1),"n.a.",IF(((E4/D4)-1)&gt;1,"&gt;100.0%",IF(((E4/D4)-1)&lt;-1,"&lt;-100.0%",((E4/D4)-1))))</f>
        <v>-6.8149134080444096E-2</v>
      </c>
    </row>
    <row r="5" spans="2:8" x14ac:dyDescent="0.2">
      <c r="B5" s="2" t="s">
        <v>66</v>
      </c>
      <c r="C5" s="30">
        <f>SUMIF('2.1 Database'!$J:$J,'2.2 P&amp;L statement'!$B5,'2.1 Database'!F:F)/1000000</f>
        <v>4.7948561920000001</v>
      </c>
      <c r="D5" s="30">
        <f>SUMIF('2.1 Database'!$J:$J,'2.2 P&amp;L statement'!$B5,'2.1 Database'!G:G)/1000000</f>
        <v>6.9602176449999993</v>
      </c>
      <c r="E5" s="30">
        <f>SUMIF('2.1 Database'!$J:$J,'2.2 P&amp;L statement'!$B5,'2.1 Database'!H:H)/1000000</f>
        <v>6.3736175140000002</v>
      </c>
      <c r="G5" s="36">
        <f t="shared" ref="G5:H24" si="0">+IF(ISERROR((D5/C5)-1),"n.a.",IF(((D5/C5)-1)&gt;1,"&gt;100.0%",IF(((D5/C5)-1)&lt;-1,"&lt;-100.0%",((D5/C5)-1))))</f>
        <v>0.45160091696030569</v>
      </c>
      <c r="H5" s="36">
        <f t="shared" si="0"/>
        <v>-8.4278992542911935E-2</v>
      </c>
    </row>
    <row r="6" spans="2:8" x14ac:dyDescent="0.2">
      <c r="B6" s="2" t="s">
        <v>228</v>
      </c>
      <c r="C6" s="30">
        <f>SUMIF('2.1 Database'!$J:$J,'2.2 P&amp;L statement'!$B6,'2.1 Database'!F:F)/1000000</f>
        <v>3.2200542519999997</v>
      </c>
      <c r="D6" s="30">
        <f>SUMIF('2.1 Database'!$J:$J,'2.2 P&amp;L statement'!$B6,'2.1 Database'!G:G)/1000000</f>
        <v>2.9240919949999999</v>
      </c>
      <c r="E6" s="30">
        <f>SUMIF('2.1 Database'!$J:$J,'2.2 P&amp;L statement'!$B6,'2.1 Database'!H:H)/1000000</f>
        <v>4.8931777299999997</v>
      </c>
      <c r="G6" s="36">
        <f t="shared" si="0"/>
        <v>-9.1912195832158816E-2</v>
      </c>
      <c r="H6" s="36">
        <f t="shared" si="0"/>
        <v>0.67340074743441836</v>
      </c>
    </row>
    <row r="7" spans="2:8" x14ac:dyDescent="0.2">
      <c r="B7" s="27" t="s">
        <v>247</v>
      </c>
      <c r="C7" s="31">
        <f>SUM(C4:C6)</f>
        <v>22.515251444</v>
      </c>
      <c r="D7" s="31">
        <f t="shared" ref="D7:E7" si="1">SUM(D4:D6)</f>
        <v>26.032605005000001</v>
      </c>
      <c r="E7" s="31">
        <f t="shared" si="1"/>
        <v>26.314598263000001</v>
      </c>
      <c r="G7" s="37">
        <f t="shared" si="0"/>
        <v>0.15622093183140207</v>
      </c>
      <c r="H7" s="37">
        <f t="shared" si="0"/>
        <v>1.0832310402506318E-2</v>
      </c>
    </row>
    <row r="8" spans="2:8" x14ac:dyDescent="0.2">
      <c r="B8" s="2" t="s">
        <v>103</v>
      </c>
      <c r="C8" s="30">
        <f>SUMIF('2.1 Database'!$J:$J,'2.2 P&amp;L statement'!$B8,'2.1 Database'!F:F)/1000000</f>
        <v>-4.4289117640000004</v>
      </c>
      <c r="D8" s="30">
        <f>SUMIF('2.1 Database'!$J:$J,'2.2 P&amp;L statement'!$B8,'2.1 Database'!G:G)/1000000</f>
        <v>-5.4631888250000005</v>
      </c>
      <c r="E8" s="30">
        <f>SUMIF('2.1 Database'!$J:$J,'2.2 P&amp;L statement'!$B8,'2.1 Database'!H:H)/1000000</f>
        <v>-5.6741520669999996</v>
      </c>
      <c r="G8" s="36">
        <f t="shared" si="0"/>
        <v>0.23352848647991253</v>
      </c>
      <c r="H8" s="36">
        <f t="shared" si="0"/>
        <v>3.861540370609462E-2</v>
      </c>
    </row>
    <row r="9" spans="2:8" x14ac:dyDescent="0.2">
      <c r="B9" s="27" t="s">
        <v>248</v>
      </c>
      <c r="C9" s="31">
        <f>SUM(C7:C8)</f>
        <v>18.086339680000002</v>
      </c>
      <c r="D9" s="31">
        <f t="shared" ref="D9:E9" si="2">SUM(D7:D8)</f>
        <v>20.569416180000001</v>
      </c>
      <c r="E9" s="31">
        <f t="shared" si="2"/>
        <v>20.640446195999999</v>
      </c>
      <c r="G9" s="37">
        <f t="shared" si="0"/>
        <v>0.13729016174266606</v>
      </c>
      <c r="H9" s="37">
        <f t="shared" si="0"/>
        <v>3.4531858064625887E-3</v>
      </c>
    </row>
    <row r="10" spans="2:8" x14ac:dyDescent="0.2">
      <c r="B10" s="2" t="s">
        <v>226</v>
      </c>
      <c r="C10" s="30">
        <f>SUMIF('2.1 Database'!$J:$J,'2.2 P&amp;L statement'!$B10,'2.1 Database'!F:F)/1000000</f>
        <v>-3.3966489799999997</v>
      </c>
      <c r="D10" s="30">
        <f>SUMIF('2.1 Database'!$J:$J,'2.2 P&amp;L statement'!$B10,'2.1 Database'!G:G)/1000000</f>
        <v>-3.7048433449999996</v>
      </c>
      <c r="E10" s="30">
        <f>SUMIF('2.1 Database'!$J:$J,'2.2 P&amp;L statement'!$B10,'2.1 Database'!H:H)/1000000</f>
        <v>-6.6874830379999999</v>
      </c>
      <c r="G10" s="36">
        <f t="shared" si="0"/>
        <v>9.0734829184498045E-2</v>
      </c>
      <c r="H10" s="36">
        <f t="shared" si="0"/>
        <v>0.80506499607475335</v>
      </c>
    </row>
    <row r="11" spans="2:8" x14ac:dyDescent="0.2">
      <c r="B11" s="2" t="s">
        <v>227</v>
      </c>
      <c r="C11" s="30">
        <f>SUMIF('2.1 Database'!$J:$J,'2.2 P&amp;L statement'!$B11,'2.1 Database'!F:F)/1000000</f>
        <v>-6.17073904</v>
      </c>
      <c r="D11" s="30">
        <f>SUMIF('2.1 Database'!$J:$J,'2.2 P&amp;L statement'!$B11,'2.1 Database'!G:G)/1000000</f>
        <v>-8.0718589449999989</v>
      </c>
      <c r="E11" s="30">
        <f>SUMIF('2.1 Database'!$J:$J,'2.2 P&amp;L statement'!$B11,'2.1 Database'!H:H)/1000000</f>
        <v>-5.8358881759999992</v>
      </c>
      <c r="G11" s="36">
        <f t="shared" si="0"/>
        <v>0.30808625882192531</v>
      </c>
      <c r="H11" s="36">
        <f t="shared" si="0"/>
        <v>-0.27700815688622027</v>
      </c>
    </row>
    <row r="12" spans="2:8" x14ac:dyDescent="0.2">
      <c r="B12" s="2" t="s">
        <v>229</v>
      </c>
      <c r="C12" s="30">
        <f>SUMIF('2.1 Database'!$J:$J,'2.2 P&amp;L statement'!$B12,'2.1 Database'!F:F)/1000000</f>
        <v>-1.127445872</v>
      </c>
      <c r="D12" s="30">
        <f>SUMIF('2.1 Database'!$J:$J,'2.2 P&amp;L statement'!$B12,'2.1 Database'!G:G)/1000000</f>
        <v>-1.0553814750000001</v>
      </c>
      <c r="E12" s="30">
        <f>SUMIF('2.1 Database'!$J:$J,'2.2 P&amp;L statement'!$B12,'2.1 Database'!H:H)/1000000</f>
        <v>1.596053449</v>
      </c>
      <c r="G12" s="36">
        <f t="shared" si="0"/>
        <v>-6.391827651305626E-2</v>
      </c>
      <c r="H12" s="36" t="str">
        <f t="shared" si="0"/>
        <v>&lt;-100.0%</v>
      </c>
    </row>
    <row r="13" spans="2:8" x14ac:dyDescent="0.2">
      <c r="B13" s="2" t="s">
        <v>230</v>
      </c>
      <c r="C13" s="30">
        <f>SUMIF('2.1 Database'!$J:$J,'2.2 P&amp;L statement'!$B13,'2.1 Database'!F:F)/1000000</f>
        <v>-2.5430882079999995</v>
      </c>
      <c r="D13" s="30">
        <f>SUMIF('2.1 Database'!$J:$J,'2.2 P&amp;L statement'!$B13,'2.1 Database'!G:G)/1000000</f>
        <v>-1.837786345</v>
      </c>
      <c r="E13" s="30">
        <f>SUMIF('2.1 Database'!$J:$J,'2.2 P&amp;L statement'!$B13,'2.1 Database'!H:H)/1000000</f>
        <v>-1.9549839309999999</v>
      </c>
      <c r="G13" s="36">
        <f t="shared" si="0"/>
        <v>-0.27734069969782171</v>
      </c>
      <c r="H13" s="36">
        <f t="shared" si="0"/>
        <v>6.3771061483210545E-2</v>
      </c>
    </row>
    <row r="14" spans="2:8" x14ac:dyDescent="0.2">
      <c r="B14" s="2" t="s">
        <v>231</v>
      </c>
      <c r="C14" s="30">
        <f>SUMIF('2.1 Database'!$J:$J,'2.2 P&amp;L statement'!$B14,'2.1 Database'!F:F)/1000000</f>
        <v>-1.8135250039999999</v>
      </c>
      <c r="D14" s="30">
        <f>SUMIF('2.1 Database'!$J:$J,'2.2 P&amp;L statement'!$B14,'2.1 Database'!G:G)/1000000</f>
        <v>-2.3932591899999998</v>
      </c>
      <c r="E14" s="30">
        <f>SUMIF('2.1 Database'!$J:$J,'2.2 P&amp;L statement'!$B14,'2.1 Database'!H:H)/1000000</f>
        <v>-2.5144318869999998</v>
      </c>
      <c r="G14" s="36">
        <f t="shared" si="0"/>
        <v>0.31967256294857238</v>
      </c>
      <c r="H14" s="36">
        <f t="shared" si="0"/>
        <v>5.0630829082912721E-2</v>
      </c>
    </row>
    <row r="15" spans="2:8" x14ac:dyDescent="0.2">
      <c r="B15" s="2" t="s">
        <v>74</v>
      </c>
      <c r="C15" s="30">
        <f>SUMIF('2.1 Database'!$J:$J,'2.2 P&amp;L statement'!$B15,'2.1 Database'!F:F)/1000000</f>
        <v>5.7221999999999995E-5</v>
      </c>
      <c r="D15" s="30">
        <f>SUMIF('2.1 Database'!$J:$J,'2.2 P&amp;L statement'!$B15,'2.1 Database'!G:G)/1000000</f>
        <v>-7.3574899999999995E-3</v>
      </c>
      <c r="E15" s="30">
        <f>SUMIF('2.1 Database'!$J:$J,'2.2 P&amp;L statement'!$B15,'2.1 Database'!H:H)/1000000</f>
        <v>4.678542799999999E-2</v>
      </c>
      <c r="G15" s="36" t="str">
        <f t="shared" si="0"/>
        <v>&lt;-100.0%</v>
      </c>
      <c r="H15" s="36" t="str">
        <f t="shared" si="0"/>
        <v>&lt;-100.0%</v>
      </c>
    </row>
    <row r="16" spans="2:8" x14ac:dyDescent="0.2">
      <c r="B16" s="2" t="s">
        <v>67</v>
      </c>
      <c r="C16" s="30">
        <f>SUMIF('2.1 Database'!$J:$J,'2.2 P&amp;L statement'!$B16,'2.1 Database'!F:F)/1000000</f>
        <v>5.2683321979999995</v>
      </c>
      <c r="D16" s="30">
        <f>SUMIF('2.1 Database'!$J:$J,'2.2 P&amp;L statement'!$B16,'2.1 Database'!G:G)/1000000</f>
        <v>0.74482694999999999</v>
      </c>
      <c r="E16" s="30">
        <f>SUMIF('2.1 Database'!$J:$J,'2.2 P&amp;L statement'!$B16,'2.1 Database'!H:H)/1000000</f>
        <v>0</v>
      </c>
      <c r="G16" s="36">
        <f t="shared" si="0"/>
        <v>-0.85862187082986985</v>
      </c>
      <c r="H16" s="36">
        <f t="shared" si="0"/>
        <v>-1</v>
      </c>
    </row>
    <row r="17" spans="2:8" x14ac:dyDescent="0.2">
      <c r="B17" s="28" t="s">
        <v>237</v>
      </c>
      <c r="C17" s="32">
        <f>SUM(C9:C16)</f>
        <v>8.3032819960000026</v>
      </c>
      <c r="D17" s="32">
        <f t="shared" ref="D17:E17" si="3">SUM(D9:D16)</f>
        <v>4.2437563400000018</v>
      </c>
      <c r="E17" s="32">
        <f t="shared" si="3"/>
        <v>5.2904980409999993</v>
      </c>
      <c r="G17" s="38">
        <f t="shared" si="0"/>
        <v>-0.48890615276653548</v>
      </c>
      <c r="H17" s="38">
        <f t="shared" si="0"/>
        <v>0.24665452423217982</v>
      </c>
    </row>
    <row r="18" spans="2:8" x14ac:dyDescent="0.2">
      <c r="B18" s="2" t="s">
        <v>72</v>
      </c>
      <c r="C18" s="30">
        <f>SUMIF('2.1 Database'!$J:$J,'2.2 P&amp;L statement'!$B18,'2.1 Database'!F:F)/1000000</f>
        <v>-2.045243514</v>
      </c>
      <c r="D18" s="30">
        <f>SUMIF('2.1 Database'!$J:$J,'2.2 P&amp;L statement'!$B18,'2.1 Database'!G:G)/1000000</f>
        <v>-2.0440058150000002</v>
      </c>
      <c r="E18" s="30">
        <f>SUMIF('2.1 Database'!$J:$J,'2.2 P&amp;L statement'!$B18,'2.1 Database'!H:H)/1000000</f>
        <v>-1.8883615140000001</v>
      </c>
      <c r="G18" s="36">
        <f t="shared" si="0"/>
        <v>-6.0515972378227811E-4</v>
      </c>
      <c r="H18" s="36">
        <f t="shared" si="0"/>
        <v>-7.6146701666795491E-2</v>
      </c>
    </row>
    <row r="19" spans="2:8" x14ac:dyDescent="0.2">
      <c r="B19" s="27" t="s">
        <v>238</v>
      </c>
      <c r="C19" s="31">
        <f>SUM(C17:C18)</f>
        <v>6.2580384820000026</v>
      </c>
      <c r="D19" s="31">
        <f t="shared" ref="D19:E19" si="4">SUM(D17:D18)</f>
        <v>2.1997505250000016</v>
      </c>
      <c r="E19" s="31">
        <f t="shared" si="4"/>
        <v>3.4021365269999992</v>
      </c>
      <c r="G19" s="37">
        <f t="shared" si="0"/>
        <v>-0.64849201050342775</v>
      </c>
      <c r="H19" s="37">
        <f t="shared" si="0"/>
        <v>0.54660107513782585</v>
      </c>
    </row>
    <row r="20" spans="2:8" x14ac:dyDescent="0.2">
      <c r="B20" s="2" t="s">
        <v>232</v>
      </c>
      <c r="C20" s="30">
        <f>SUMIF('2.1 Database'!$J:$J,'2.2 P&amp;L statement'!$B20,'2.1 Database'!F:F)/1000000</f>
        <v>-2.8426923660000001</v>
      </c>
      <c r="D20" s="30">
        <f>SUMIF('2.1 Database'!$J:$J,'2.2 P&amp;L statement'!$B20,'2.1 Database'!G:G)/1000000</f>
        <v>-2.7107469200000001</v>
      </c>
      <c r="E20" s="30">
        <f>SUMIF('2.1 Database'!$J:$J,'2.2 P&amp;L statement'!$B20,'2.1 Database'!H:H)/1000000</f>
        <v>-2.250707829</v>
      </c>
      <c r="G20" s="36">
        <f t="shared" si="0"/>
        <v>-4.6415661285805099E-2</v>
      </c>
      <c r="H20" s="36">
        <f t="shared" si="0"/>
        <v>-0.16970934748862498</v>
      </c>
    </row>
    <row r="21" spans="2:8" x14ac:dyDescent="0.2">
      <c r="B21" s="2" t="s">
        <v>233</v>
      </c>
      <c r="C21" s="30">
        <f>SUMIF('2.1 Database'!$J:$J,'2.2 P&amp;L statement'!$B21,'2.1 Database'!F:F)/1000000</f>
        <v>-2.2762999999999999E-2</v>
      </c>
      <c r="D21" s="30">
        <f>SUMIF('2.1 Database'!$J:$J,'2.2 P&amp;L statement'!$B21,'2.1 Database'!G:G)/1000000</f>
        <v>-4.5786198000000002</v>
      </c>
      <c r="E21" s="30">
        <f>SUMIF('2.1 Database'!$J:$J,'2.2 P&amp;L statement'!$B21,'2.1 Database'!H:H)/1000000</f>
        <v>-7.1731959999999989E-3</v>
      </c>
      <c r="G21" s="36" t="str">
        <f t="shared" si="0"/>
        <v>&gt;100.0%</v>
      </c>
      <c r="H21" s="36">
        <f t="shared" si="0"/>
        <v>-0.99843332787754069</v>
      </c>
    </row>
    <row r="22" spans="2:8" x14ac:dyDescent="0.2">
      <c r="B22" s="27" t="s">
        <v>239</v>
      </c>
      <c r="C22" s="31">
        <f>SUM(C19:C21)</f>
        <v>3.3925831160000026</v>
      </c>
      <c r="D22" s="31">
        <f t="shared" ref="D22:E22" si="5">SUM(D19:D21)</f>
        <v>-5.0896161949999987</v>
      </c>
      <c r="E22" s="31">
        <f t="shared" si="5"/>
        <v>1.1442555019999991</v>
      </c>
      <c r="G22" s="37" t="str">
        <f t="shared" si="0"/>
        <v>&lt;-100.0%</v>
      </c>
      <c r="H22" s="37" t="str">
        <f t="shared" si="0"/>
        <v>&lt;-100.0%</v>
      </c>
    </row>
    <row r="23" spans="2:8" x14ac:dyDescent="0.2">
      <c r="B23" s="2" t="s">
        <v>234</v>
      </c>
      <c r="C23" s="30">
        <f>SUMIF('2.1 Database'!$J:$J,'2.2 P&amp;L statement'!$B23,'2.1 Database'!F:F)/1000000</f>
        <v>-0.48846512199999997</v>
      </c>
      <c r="D23" s="30">
        <f>SUMIF('2.1 Database'!$J:$J,'2.2 P&amp;L statement'!$B23,'2.1 Database'!G:G)/1000000</f>
        <v>-0.98419196500000017</v>
      </c>
      <c r="E23" s="30">
        <f>SUMIF('2.1 Database'!$J:$J,'2.2 P&amp;L statement'!$B23,'2.1 Database'!H:H)/1000000</f>
        <v>-0.36496502599999997</v>
      </c>
      <c r="G23" s="36" t="str">
        <f t="shared" si="0"/>
        <v>&gt;100.0%</v>
      </c>
      <c r="H23" s="36">
        <f t="shared" si="0"/>
        <v>-0.62917292664546398</v>
      </c>
    </row>
    <row r="24" spans="2:8" ht="12.75" thickBot="1" x14ac:dyDescent="0.25">
      <c r="B24" s="29" t="s">
        <v>235</v>
      </c>
      <c r="C24" s="33">
        <f>SUM(C22:C23)</f>
        <v>2.9041179940000026</v>
      </c>
      <c r="D24" s="33">
        <f t="shared" ref="D24:E24" si="6">SUM(D22:D23)</f>
        <v>-6.0738081599999987</v>
      </c>
      <c r="E24" s="33">
        <f t="shared" si="6"/>
        <v>0.77929047599999923</v>
      </c>
      <c r="G24" s="39" t="str">
        <f t="shared" si="0"/>
        <v>&lt;-100.0%</v>
      </c>
      <c r="H24" s="39" t="str">
        <f t="shared" si="0"/>
        <v>&lt;-100.0%</v>
      </c>
    </row>
    <row r="25" spans="2:8" x14ac:dyDescent="0.2">
      <c r="E25" s="23"/>
    </row>
    <row r="26" spans="2:8" x14ac:dyDescent="0.2">
      <c r="B26" s="40" t="s">
        <v>252</v>
      </c>
      <c r="C26" s="41"/>
      <c r="D26" s="41"/>
      <c r="E26" s="41"/>
    </row>
    <row r="27" spans="2:8" x14ac:dyDescent="0.2">
      <c r="B27" s="40" t="s">
        <v>253</v>
      </c>
      <c r="C27" s="42">
        <f>C9/C$7</f>
        <v>0.80329281353949789</v>
      </c>
      <c r="D27" s="42">
        <f t="shared" ref="D27:E27" si="7">D9/D$7</f>
        <v>0.79014052477841912</v>
      </c>
      <c r="E27" s="42">
        <f t="shared" si="7"/>
        <v>0.78437246085651935</v>
      </c>
    </row>
    <row r="28" spans="2:8" x14ac:dyDescent="0.2">
      <c r="B28" s="40" t="s">
        <v>254</v>
      </c>
      <c r="C28" s="42">
        <f>C17/C$7</f>
        <v>0.36878477758296191</v>
      </c>
      <c r="D28" s="42">
        <f t="shared" ref="D28:E28" si="8">D17/D$7</f>
        <v>0.16301696811306118</v>
      </c>
      <c r="E28" s="42">
        <f t="shared" si="8"/>
        <v>0.20104802619916018</v>
      </c>
    </row>
    <row r="29" spans="2:8" x14ac:dyDescent="0.2">
      <c r="B29" s="40" t="s">
        <v>255</v>
      </c>
      <c r="C29" s="42">
        <f>C19/C$7</f>
        <v>0.2779466397506159</v>
      </c>
      <c r="D29" s="42">
        <f t="shared" ref="D29:E29" si="9">D19/D$7</f>
        <v>8.4499823378317393E-2</v>
      </c>
      <c r="E29" s="42">
        <f t="shared" si="9"/>
        <v>0.12928704033394345</v>
      </c>
    </row>
    <row r="30" spans="2:8" x14ac:dyDescent="0.2">
      <c r="C30" s="34"/>
      <c r="E30" s="23"/>
    </row>
    <row r="31" spans="2:8" x14ac:dyDescent="0.2">
      <c r="C31" s="30"/>
      <c r="E31" s="23"/>
    </row>
    <row r="32" spans="2:8" x14ac:dyDescent="0.2">
      <c r="E32" s="23"/>
    </row>
    <row r="33" spans="5:5" x14ac:dyDescent="0.2">
      <c r="E33" s="23"/>
    </row>
    <row r="34" spans="5:5" x14ac:dyDescent="0.2">
      <c r="E34" s="23"/>
    </row>
    <row r="35" spans="5:5" x14ac:dyDescent="0.2">
      <c r="E35" s="23"/>
    </row>
    <row r="36" spans="5:5" x14ac:dyDescent="0.2">
      <c r="E36" s="23"/>
    </row>
    <row r="37" spans="5:5" x14ac:dyDescent="0.2">
      <c r="E37" s="23"/>
    </row>
    <row r="38" spans="5:5" x14ac:dyDescent="0.2">
      <c r="E38" s="23"/>
    </row>
    <row r="39" spans="5:5" x14ac:dyDescent="0.2">
      <c r="E39" s="23"/>
    </row>
    <row r="40" spans="5:5" x14ac:dyDescent="0.2">
      <c r="E40" s="23"/>
    </row>
    <row r="41" spans="5:5" x14ac:dyDescent="0.2">
      <c r="E41" s="23"/>
    </row>
    <row r="42" spans="5:5" x14ac:dyDescent="0.2">
      <c r="E42" s="23"/>
    </row>
    <row r="43" spans="5:5" x14ac:dyDescent="0.2">
      <c r="E43" s="23"/>
    </row>
    <row r="44" spans="5:5" x14ac:dyDescent="0.2">
      <c r="E44" s="23"/>
    </row>
    <row r="45" spans="5:5" x14ac:dyDescent="0.2">
      <c r="E45" s="23"/>
    </row>
    <row r="46" spans="5:5" x14ac:dyDescent="0.2">
      <c r="E46" s="23"/>
    </row>
    <row r="47" spans="5:5" x14ac:dyDescent="0.2">
      <c r="E47" s="23"/>
    </row>
    <row r="48" spans="5:5" x14ac:dyDescent="0.2">
      <c r="E48" s="23"/>
    </row>
    <row r="49" spans="5:5" x14ac:dyDescent="0.2">
      <c r="E49" s="23"/>
    </row>
    <row r="50" spans="5:5" x14ac:dyDescent="0.2">
      <c r="E50" s="23"/>
    </row>
    <row r="51" spans="5:5" x14ac:dyDescent="0.2">
      <c r="E51" s="23"/>
    </row>
    <row r="52" spans="5:5" x14ac:dyDescent="0.2">
      <c r="E52" s="23"/>
    </row>
    <row r="53" spans="5:5" x14ac:dyDescent="0.2">
      <c r="E53" s="23"/>
    </row>
    <row r="54" spans="5:5" x14ac:dyDescent="0.2">
      <c r="E54" s="23"/>
    </row>
    <row r="55" spans="5:5" x14ac:dyDescent="0.2">
      <c r="E55" s="23"/>
    </row>
    <row r="56" spans="5:5" x14ac:dyDescent="0.2">
      <c r="E56" s="23"/>
    </row>
    <row r="57" spans="5:5" x14ac:dyDescent="0.2">
      <c r="E57" s="23"/>
    </row>
    <row r="58" spans="5:5" x14ac:dyDescent="0.2">
      <c r="E58" s="23"/>
    </row>
    <row r="59" spans="5:5" x14ac:dyDescent="0.2">
      <c r="E59" s="23"/>
    </row>
    <row r="60" spans="5:5" x14ac:dyDescent="0.2">
      <c r="E60" s="23"/>
    </row>
    <row r="61" spans="5:5" x14ac:dyDescent="0.2">
      <c r="E61" s="23"/>
    </row>
    <row r="62" spans="5:5" x14ac:dyDescent="0.2">
      <c r="E62" s="23"/>
    </row>
    <row r="63" spans="5:5" x14ac:dyDescent="0.2">
      <c r="E63" s="23"/>
    </row>
    <row r="64" spans="5:5" x14ac:dyDescent="0.2">
      <c r="E64" s="23"/>
    </row>
    <row r="65" spans="5:5" x14ac:dyDescent="0.2">
      <c r="E65" s="23"/>
    </row>
    <row r="66" spans="5:5" x14ac:dyDescent="0.2">
      <c r="E66" s="23"/>
    </row>
    <row r="67" spans="5:5" x14ac:dyDescent="0.2">
      <c r="E67" s="23"/>
    </row>
    <row r="68" spans="5:5" x14ac:dyDescent="0.2">
      <c r="E68" s="23"/>
    </row>
    <row r="69" spans="5:5" x14ac:dyDescent="0.2">
      <c r="E69" s="23"/>
    </row>
    <row r="70" spans="5:5" x14ac:dyDescent="0.2">
      <c r="E70" s="23"/>
    </row>
    <row r="71" spans="5:5" x14ac:dyDescent="0.2">
      <c r="E71" s="23"/>
    </row>
    <row r="72" spans="5:5" x14ac:dyDescent="0.2">
      <c r="E72" s="23"/>
    </row>
    <row r="73" spans="5:5" x14ac:dyDescent="0.2">
      <c r="E73" s="23"/>
    </row>
    <row r="74" spans="5:5" x14ac:dyDescent="0.2">
      <c r="E74" s="23"/>
    </row>
    <row r="75" spans="5:5" x14ac:dyDescent="0.2">
      <c r="E75" s="23"/>
    </row>
    <row r="76" spans="5:5" x14ac:dyDescent="0.2">
      <c r="E76" s="23"/>
    </row>
    <row r="77" spans="5:5" x14ac:dyDescent="0.2">
      <c r="E77" s="23"/>
    </row>
    <row r="78" spans="5:5" x14ac:dyDescent="0.2">
      <c r="E78" s="23"/>
    </row>
    <row r="79" spans="5:5" x14ac:dyDescent="0.2">
      <c r="E79" s="23"/>
    </row>
    <row r="80" spans="5:5" x14ac:dyDescent="0.2">
      <c r="E80" s="23"/>
    </row>
    <row r="81" spans="5:5" x14ac:dyDescent="0.2">
      <c r="E81" s="23"/>
    </row>
    <row r="82" spans="5:5" x14ac:dyDescent="0.2">
      <c r="E82" s="23"/>
    </row>
    <row r="83" spans="5:5" x14ac:dyDescent="0.2">
      <c r="E83" s="23"/>
    </row>
    <row r="84" spans="5:5" x14ac:dyDescent="0.2">
      <c r="E84" s="23"/>
    </row>
    <row r="85" spans="5:5" x14ac:dyDescent="0.2">
      <c r="E85" s="23"/>
    </row>
    <row r="86" spans="5:5" x14ac:dyDescent="0.2">
      <c r="E86" s="23"/>
    </row>
    <row r="87" spans="5:5" x14ac:dyDescent="0.2">
      <c r="E87" s="23"/>
    </row>
    <row r="88" spans="5:5" x14ac:dyDescent="0.2">
      <c r="E88" s="23"/>
    </row>
    <row r="89" spans="5:5" x14ac:dyDescent="0.2">
      <c r="E89" s="23"/>
    </row>
    <row r="90" spans="5:5" x14ac:dyDescent="0.2">
      <c r="E90" s="23"/>
    </row>
    <row r="91" spans="5:5" x14ac:dyDescent="0.2">
      <c r="E91" s="23"/>
    </row>
    <row r="92" spans="5:5" x14ac:dyDescent="0.2">
      <c r="E92" s="23"/>
    </row>
    <row r="93" spans="5:5" x14ac:dyDescent="0.2">
      <c r="E93" s="23"/>
    </row>
    <row r="94" spans="5:5" x14ac:dyDescent="0.2">
      <c r="E94" s="23"/>
    </row>
    <row r="95" spans="5:5" x14ac:dyDescent="0.2">
      <c r="E95" s="23"/>
    </row>
    <row r="96" spans="5:5" x14ac:dyDescent="0.2">
      <c r="E96" s="23"/>
    </row>
    <row r="97" spans="5:5" x14ac:dyDescent="0.2">
      <c r="E97" s="23"/>
    </row>
    <row r="98" spans="5:5" x14ac:dyDescent="0.2">
      <c r="E98" s="23"/>
    </row>
    <row r="99" spans="5:5" x14ac:dyDescent="0.2">
      <c r="E99" s="23"/>
    </row>
    <row r="100" spans="5:5" x14ac:dyDescent="0.2">
      <c r="E100" s="23"/>
    </row>
    <row r="101" spans="5:5" x14ac:dyDescent="0.2">
      <c r="E101" s="23"/>
    </row>
    <row r="102" spans="5:5" x14ac:dyDescent="0.2">
      <c r="E102" s="23"/>
    </row>
    <row r="103" spans="5:5" x14ac:dyDescent="0.2">
      <c r="E103" s="23"/>
    </row>
    <row r="104" spans="5:5" x14ac:dyDescent="0.2">
      <c r="E104" s="2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E7"/>
  <sheetViews>
    <sheetView workbookViewId="0"/>
  </sheetViews>
  <sheetFormatPr defaultRowHeight="12" x14ac:dyDescent="0.2"/>
  <cols>
    <col min="1" max="1" width="2" style="25" customWidth="1"/>
    <col min="2" max="2" width="25.5703125" style="25" bestFit="1" customWidth="1"/>
    <col min="3" max="16384" width="9.140625" style="25"/>
  </cols>
  <sheetData>
    <row r="1" spans="2:5" ht="15.75" x14ac:dyDescent="0.25">
      <c r="B1" s="3" t="s">
        <v>256</v>
      </c>
      <c r="C1" s="2"/>
      <c r="D1" s="2"/>
      <c r="E1" s="2"/>
    </row>
    <row r="2" spans="2:5" x14ac:dyDescent="0.2">
      <c r="B2" s="2"/>
      <c r="C2" s="2"/>
      <c r="D2" s="2"/>
      <c r="E2" s="2"/>
    </row>
    <row r="3" spans="2:5" ht="12.75" thickBot="1" x14ac:dyDescent="0.25">
      <c r="B3" s="43"/>
      <c r="C3" s="44" t="str">
        <f>'2.2 P&amp;L statement'!C3</f>
        <v>FY16</v>
      </c>
      <c r="D3" s="44" t="str">
        <f>'2.2 P&amp;L statement'!D3</f>
        <v>FY17</v>
      </c>
      <c r="E3" s="44" t="str">
        <f>'2.2 P&amp;L statement'!E3</f>
        <v>FY18</v>
      </c>
    </row>
    <row r="4" spans="2:5" x14ac:dyDescent="0.2">
      <c r="B4" s="45" t="s">
        <v>225</v>
      </c>
      <c r="C4" s="46">
        <f>'2.2 P&amp;L statement'!C4</f>
        <v>14.500341000000001</v>
      </c>
      <c r="D4" s="46">
        <f>'2.2 P&amp;L statement'!D4</f>
        <v>16.148295364999999</v>
      </c>
      <c r="E4" s="46">
        <f>'2.2 P&amp;L statement'!E4</f>
        <v>15.047803019</v>
      </c>
    </row>
    <row r="5" spans="2:5" x14ac:dyDescent="0.2">
      <c r="B5" s="45" t="s">
        <v>66</v>
      </c>
      <c r="C5" s="46">
        <f>'2.2 P&amp;L statement'!C5</f>
        <v>4.7948561920000001</v>
      </c>
      <c r="D5" s="46">
        <f>'2.2 P&amp;L statement'!D5</f>
        <v>6.9602176449999993</v>
      </c>
      <c r="E5" s="46">
        <f>'2.2 P&amp;L statement'!E5</f>
        <v>6.3736175140000002</v>
      </c>
    </row>
    <row r="6" spans="2:5" x14ac:dyDescent="0.2">
      <c r="B6" s="45" t="s">
        <v>228</v>
      </c>
      <c r="C6" s="46">
        <f>'2.2 P&amp;L statement'!C6</f>
        <v>3.2200542519999997</v>
      </c>
      <c r="D6" s="46">
        <f>'2.2 P&amp;L statement'!D6</f>
        <v>2.9240919949999999</v>
      </c>
      <c r="E6" s="46">
        <f>'2.2 P&amp;L statement'!E6</f>
        <v>4.8931777299999997</v>
      </c>
    </row>
    <row r="7" spans="2:5" x14ac:dyDescent="0.2">
      <c r="B7" s="45" t="s">
        <v>257</v>
      </c>
      <c r="C7" s="47">
        <f>'2.2 P&amp;L statement'!C27</f>
        <v>0.80329281353949789</v>
      </c>
      <c r="D7" s="47">
        <f>'2.2 P&amp;L statement'!D27</f>
        <v>0.79014052477841912</v>
      </c>
      <c r="E7" s="47">
        <f>'2.2 P&amp;L statement'!E27</f>
        <v>0.78437246085651935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7"/>
  <sheetViews>
    <sheetView workbookViewId="0"/>
  </sheetViews>
  <sheetFormatPr defaultRowHeight="12" x14ac:dyDescent="0.2"/>
  <cols>
    <col min="1" max="1" width="2" style="25" customWidth="1"/>
    <col min="2" max="2" width="25.5703125" style="25" bestFit="1" customWidth="1"/>
    <col min="3" max="16384" width="9.140625" style="25"/>
  </cols>
  <sheetData>
    <row r="1" spans="2:5" ht="15.75" x14ac:dyDescent="0.25">
      <c r="B1" s="3" t="s">
        <v>259</v>
      </c>
      <c r="C1" s="2"/>
      <c r="D1" s="2"/>
      <c r="E1" s="2"/>
    </row>
    <row r="2" spans="2:5" x14ac:dyDescent="0.2">
      <c r="B2" s="2"/>
      <c r="C2" s="2"/>
      <c r="D2" s="2"/>
      <c r="E2" s="2"/>
    </row>
    <row r="3" spans="2:5" ht="12.75" thickBot="1" x14ac:dyDescent="0.25">
      <c r="B3" s="43"/>
      <c r="C3" s="44" t="str">
        <f>'2.2 P&amp;L statement'!C3</f>
        <v>FY16</v>
      </c>
      <c r="D3" s="44" t="str">
        <f>'2.2 P&amp;L statement'!D3</f>
        <v>FY17</v>
      </c>
      <c r="E3" s="44" t="str">
        <f>'2.2 P&amp;L statement'!E3</f>
        <v>FY18</v>
      </c>
    </row>
    <row r="4" spans="2:5" x14ac:dyDescent="0.2">
      <c r="B4" s="45" t="s">
        <v>225</v>
      </c>
      <c r="C4" s="46">
        <f>'2.2 P&amp;L statement'!C4</f>
        <v>14.500341000000001</v>
      </c>
      <c r="D4" s="46">
        <f>'2.2 P&amp;L statement'!D4</f>
        <v>16.148295364999999</v>
      </c>
      <c r="E4" s="46">
        <f>'2.2 P&amp;L statement'!E4</f>
        <v>15.047803019</v>
      </c>
    </row>
    <row r="5" spans="2:5" x14ac:dyDescent="0.2">
      <c r="B5" s="45" t="s">
        <v>66</v>
      </c>
      <c r="C5" s="46">
        <f>'2.2 P&amp;L statement'!C5</f>
        <v>4.7948561920000001</v>
      </c>
      <c r="D5" s="46">
        <f>'2.2 P&amp;L statement'!D5</f>
        <v>6.9602176449999993</v>
      </c>
      <c r="E5" s="46">
        <f>'2.2 P&amp;L statement'!E5</f>
        <v>6.3736175140000002</v>
      </c>
    </row>
    <row r="6" spans="2:5" x14ac:dyDescent="0.2">
      <c r="B6" s="45" t="s">
        <v>228</v>
      </c>
      <c r="C6" s="46">
        <f>'2.2 P&amp;L statement'!C6</f>
        <v>3.2200542519999997</v>
      </c>
      <c r="D6" s="46">
        <f>'2.2 P&amp;L statement'!D6</f>
        <v>2.9240919949999999</v>
      </c>
      <c r="E6" s="46">
        <f>'2.2 P&amp;L statement'!E6</f>
        <v>4.8931777299999997</v>
      </c>
    </row>
    <row r="7" spans="2:5" x14ac:dyDescent="0.2">
      <c r="B7" s="45"/>
      <c r="C7" s="47"/>
      <c r="D7" s="47"/>
      <c r="E7" s="4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6"/>
  <sheetViews>
    <sheetView tabSelected="1" workbookViewId="0">
      <selection activeCell="N12" sqref="N12"/>
    </sheetView>
  </sheetViews>
  <sheetFormatPr defaultRowHeight="12" x14ac:dyDescent="0.2"/>
  <cols>
    <col min="1" max="1" width="2" style="25" customWidth="1"/>
    <col min="2" max="2" width="25.5703125" style="25" bestFit="1" customWidth="1"/>
    <col min="3" max="16384" width="9.140625" style="25"/>
  </cols>
  <sheetData>
    <row r="1" spans="2:5" ht="15.75" x14ac:dyDescent="0.25">
      <c r="B1" s="3" t="s">
        <v>256</v>
      </c>
      <c r="C1" s="2"/>
      <c r="D1" s="2"/>
      <c r="E1" s="2"/>
    </row>
    <row r="2" spans="2:5" x14ac:dyDescent="0.2">
      <c r="B2" s="2"/>
      <c r="C2" s="2"/>
      <c r="D2" s="2"/>
      <c r="E2" s="2"/>
    </row>
    <row r="3" spans="2:5" ht="12.75" thickBot="1" x14ac:dyDescent="0.25">
      <c r="B3" s="43"/>
      <c r="C3" s="44" t="str">
        <f>'2.2 P&amp;L statement'!C3</f>
        <v>FY16</v>
      </c>
      <c r="D3" s="44" t="str">
        <f>'2.2 P&amp;L statement'!D3</f>
        <v>FY17</v>
      </c>
      <c r="E3" s="44" t="str">
        <f>'2.2 P&amp;L statement'!E3</f>
        <v>FY18</v>
      </c>
    </row>
    <row r="4" spans="2:5" x14ac:dyDescent="0.2">
      <c r="B4" s="45" t="s">
        <v>260</v>
      </c>
      <c r="C4" s="46">
        <f>'2.2 P&amp;L statement'!C7</f>
        <v>22.515251444</v>
      </c>
      <c r="D4" s="46">
        <f>'2.2 P&amp;L statement'!D7</f>
        <v>26.032605005000001</v>
      </c>
      <c r="E4" s="46">
        <f>'2.2 P&amp;L statement'!E7</f>
        <v>26.314598263000001</v>
      </c>
    </row>
    <row r="5" spans="2:5" x14ac:dyDescent="0.2">
      <c r="B5" s="45" t="s">
        <v>257</v>
      </c>
      <c r="C5" s="47">
        <f>'2.2 P&amp;L statement'!C27</f>
        <v>0.80329281353949789</v>
      </c>
      <c r="D5" s="47">
        <f>'2.2 P&amp;L statement'!D27</f>
        <v>0.79014052477841912</v>
      </c>
      <c r="E5" s="47">
        <f>'2.2 P&amp;L statement'!E27</f>
        <v>0.78437246085651935</v>
      </c>
    </row>
    <row r="6" spans="2:5" x14ac:dyDescent="0.2">
      <c r="B6" s="45"/>
      <c r="C6" s="46"/>
      <c r="D6" s="46"/>
      <c r="E6" s="4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2024-03-02T18:00:57Z</dcterms:modified>
</cp:coreProperties>
</file>